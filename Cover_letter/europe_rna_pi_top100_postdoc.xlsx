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e77d8648c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名单" sheetId="1" r:id="Rb8244474fc074d75"/>
    <x:sheet xmlns:r="http://schemas.openxmlformats.org/officeDocument/2006/relationships" name="德国优先" sheetId="2" r:id="Rdfd16044584d418b"/>
    <x:sheet xmlns:r="http://schemas.openxmlformats.org/officeDocument/2006/relationships" name="优先联系" sheetId="3" r:id="Rbea7ad2a0e7b4b14"/>
    <x:sheet xmlns:r="http://schemas.openxmlformats.org/officeDocument/2006/relationships" name="国家统计" sheetId="4" r:id="R79f00965959e4ce8"/>
    <x:sheet xmlns:r="http://schemas.openxmlformats.org/officeDocument/2006/relationships" name="说明与方法" sheetId="5" r:id="Rf7cbbe890cec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6324F"/>
      <x:name val="Carlito"/>
    </x:font>
    <x:font>
      <x:b/>
      <x:sz val="10"/>
      <x:color rgb="FFFFFFFF"/>
      <x:name val="Carlito"/>
    </x:font>
    <x:font>
      <x:sz val="9"/>
      <x:color rgb="FF111827"/>
      <x:name val="Carlito"/>
    </x:font>
    <x:font>
      <x:sz val="9"/>
      <x:name val="Carlito"/>
    </x:font>
    <x:font>
      <x:b/>
      <x:sz val="12"/>
      <x:color rgb="FF16324F"/>
      <x:name val="Carlito"/>
    </x:font>
    <x:font>
      <x:sz val="10"/>
      <x:name val="Carlito"/>
    </x:font>
    <x:font>
      <x:b/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E"/>
      </x:patternFill>
    </x:fill>
    <x:fill>
      <x:patternFill patternType="solid">
        <x:fgColor rgb="FF0F766E"/>
      </x:patternFill>
    </x:fill>
  </x:fills>
  <x:borders count="25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2563EB"/>
      </x:left>
      <x:top style="thin">
        <x:color rgb="FF2563EB"/>
      </x:top>
    </x:border>
    <x:border>
      <x:right style="thin">
        <x:color rgb="FF2563EB"/>
      </x:right>
      <x:top style="thin">
        <x:color rgb="FF2563EB"/>
      </x:top>
    </x:border>
    <x:border>
      <x:left style="thin">
        <x:color rgb="FF2563EB"/>
      </x:left>
    </x:border>
    <x:border>
      <x:right style="thin">
        <x:color rgb="FF2563EB"/>
      </x:right>
    </x:border>
    <x:border>
      <x:left style="thin">
        <x:color rgb="FF2563EB"/>
      </x:left>
      <x:bottom style="thin">
        <x:color rgb="FF2563EB"/>
      </x:bottom>
    </x:border>
    <x:border>
      <x:right style="thin">
        <x:color rgb="FF2563EB"/>
      </x:right>
      <x:bottom style="thin">
        <x:color rgb="FF2563E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1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/>
    </x:xf>
    <x:xf numFmtId="0" fontId="4" fillId="0" borderId="3" xfId="0" applyNumberFormat="1" applyFont="1" applyFill="1" applyBorder="1" applyAlignment="1">
      <x:alignment horizontal="center" vertical="top"/>
    </x:xf>
    <x:xf numFmtId="0" fontId="4" fillId="0" borderId="5" xfId="0" applyNumberFormat="1" applyFont="1" applyFill="1" applyBorder="1" applyAlignment="1">
      <x:alignment horizontal="center" vertical="top"/>
    </x:xf>
    <x:xf numFmtId="0" fontId="4" fillId="0" borderId="6" xfId="0" applyNumberFormat="1" applyFont="1" applyFill="1" applyBorder="1" applyAlignment="1">
      <x:alignment horizontal="center" vertical="top"/>
    </x:xf>
    <x:xf numFmtId="0" fontId="4" fillId="0" borderId="8" xfId="0" applyNumberFormat="1" applyFont="1" applyFill="1" applyBorder="1" applyAlignment="1">
      <x:alignment horizontal="center" vertical="top"/>
    </x:xf>
    <x:xf numFmtId="0" fontId="4" fillId="0" borderId="9" xfId="0" applyNumberFormat="1" applyFont="1" applyFill="1" applyBorder="1" applyAlignment="1">
      <x:alignment horizontal="center" vertical="top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200" fontId="4" fillId="0" borderId="3" xfId="0" applyNumberFormat="1" applyFont="1" applyFill="1" applyBorder="1" applyAlignment="1">
      <x:alignment horizontal="center" vertical="top"/>
    </x:xf>
    <x:xf numFmtId="200" fontId="4" fillId="0" borderId="6" xfId="0" applyNumberFormat="1" applyFont="1" applyFill="1" applyBorder="1" applyAlignment="1">
      <x:alignment horizontal="center" vertical="top"/>
    </x:xf>
    <x:xf numFmtId="200" fontId="4" fillId="0" borderId="9" xfId="0" applyNumberFormat="1" applyFont="1" applyFill="1" applyBorder="1" applyAlignment="1">
      <x:alignment horizontal="center" vertical="top"/>
    </x:xf>
    <x:xf numFmtId="201" fontId="4" fillId="0" borderId="3" xfId="0" applyNumberFormat="1" applyFont="1" applyFill="1" applyBorder="1" applyAlignment="1">
      <x:alignment horizontal="center" vertical="top"/>
    </x:xf>
    <x:xf numFmtId="201" fontId="4" fillId="0" borderId="6" xfId="0" applyNumberFormat="1" applyFont="1" applyFill="1" applyBorder="1" applyAlignment="1">
      <x:alignment horizontal="center" vertical="top"/>
    </x:xf>
    <x:xf numFmtId="201" fontId="4" fillId="0" borderId="9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200" fontId="5" fillId="0" borderId="3" xfId="0" applyNumberFormat="1" applyFont="1" applyFill="1" applyBorder="1" applyAlignment="1">
      <x:alignment horizontal="center" vertical="top" wrapText="1"/>
    </x:xf>
    <x:xf numFmtId="200" fontId="5" fillId="0" borderId="6" xfId="0" applyNumberFormat="1" applyFont="1" applyFill="1" applyBorder="1" applyAlignment="1">
      <x:alignment horizontal="center" vertical="top" wrapText="1"/>
    </x:xf>
    <x:xf numFmtId="200" fontId="5" fillId="0" borderId="9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3" borderId="14" xfId="0" applyNumberFormat="1" applyFont="1" applyFill="1" applyBorder="1"/>
    <x:xf numFmtId="0" fontId="6" fillId="3" borderId="15" xfId="0" applyNumberFormat="1" applyFont="1" applyFill="1" applyBorder="1"/>
    <x:xf numFmtId="0" fontId="6" fillId="3" borderId="16" xfId="0" applyNumberFormat="1" applyFont="1" applyFill="1" applyBorder="1"/>
    <x:xf numFmtId="0" fontId="6" fillId="3" borderId="12" xfId="0" applyNumberFormat="1" applyFont="1" applyFill="1" applyBorder="1" applyAlignment="1">
      <x:alignment horizontal="center"/>
    </x:xf>
    <x:xf numFmtId="0" fontId="6" fillId="3" borderId="14" xfId="0" applyNumberFormat="1" applyFont="1" applyFill="1" applyBorder="1" applyAlignment="1">
      <x:alignment horizontal="center"/>
    </x:xf>
    <x:xf numFmtId="0" fontId="6" fillId="3" borderId="16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202" fontId="7" fillId="0" borderId="19" xfId="0" applyNumberFormat="1" applyFont="1" applyFill="1" applyBorder="1"/>
    <x:xf numFmtId="0" fontId="7" fillId="0" borderId="20" xfId="0" applyNumberFormat="1" applyFont="1" applyFill="1" applyBorder="1"/>
    <x:xf numFmtId="0" fontId="7" fillId="0" borderId="1" xfId="0" applyNumberFormat="1" applyFont="1" applyFill="1" applyBorder="1"/>
    <x:xf numFmtId="202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3" xfId="0" applyNumberFormat="1" applyFont="1" applyFill="1" applyBorder="1"/>
    <x:xf numFmtId="202" fontId="7" fillId="0" borderId="24" xfId="0" applyNumberFormat="1" applyFont="1" applyFill="1" applyBorder="1"/>
    <x:xf numFmtId="0" fontId="7" fillId="0" borderId="18" xfId="0" applyNumberFormat="1" applyFont="1" applyFill="1" applyBorder="1" applyAlignment="1">
      <x:alignment horizontal="center"/>
    </x:xf>
    <x:xf numFmtId="202" fontId="7" fillId="0" borderId="19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/>
    </x:xf>
    <x:xf numFmtId="202" fontId="7" fillId="0" borderId="21" xfId="0" applyNumberFormat="1" applyFont="1" applyFill="1" applyBorder="1" applyAlignment="1">
      <x:alignment horizontal="center"/>
    </x:xf>
    <x:xf numFmtId="0" fontId="7" fillId="0" borderId="23" xfId="0" applyNumberFormat="1" applyFont="1" applyFill="1" applyBorder="1" applyAlignment="1">
      <x:alignment horizontal="center"/>
    </x:xf>
    <x:xf numFmtId="202" fontId="7" fillId="0" borderId="2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17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4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3" borderId="17" xfId="0" applyNumberFormat="1" applyFont="1" applyFill="1" applyBorder="1" applyAlignment="1">
      <x:alignment vertical="top" wrapText="1"/>
    </x:xf>
    <x:xf numFmtId="0" fontId="0" fillId="3" borderId="20" xfId="0" applyNumberFormat="1" applyFont="1" applyFill="1" applyBorder="1" applyAlignment="1">
      <x:alignment vertical="top" wrapText="1"/>
    </x:xf>
    <x:xf numFmtId="0" fontId="0" fillId="3" borderId="22" xfId="0" applyNumberFormat="1" applyFont="1" applyFill="1" applyBorder="1" applyAlignment="1">
      <x:alignment vertical="top" wrapText="1"/>
    </x:xf>
    <x:xf numFmtId="0" fontId="8" fillId="3" borderId="17" xfId="0" applyNumberFormat="1" applyFont="1" applyFill="1" applyBorder="1" applyAlignment="1">
      <x:alignment vertical="top" wrapText="1"/>
    </x:xf>
    <x:xf numFmtId="0" fontId="8" fillId="3" borderId="20" xfId="0" applyNumberFormat="1" applyFont="1" applyFill="1" applyBorder="1" applyAlignment="1">
      <x:alignment vertical="top" wrapText="1"/>
    </x:xf>
    <x:xf numFmtId="0" fontId="8" fillId="3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324F"/>
      </x:font>
      <x:fill>
        <x:patternFill patternType="solid">
          <x:bgColor rgb="FFE8F0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324F"/>
      </x:font>
      <x:fill>
        <x:patternFill patternType="solid">
          <x:bgColor rgb="FFE8F0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aec84ce854fce" /><Relationship Type="http://schemas.openxmlformats.org/officeDocument/2006/relationships/theme" Target="/xl/theme/theme1.xml" Id="R132877e423e14257" /><Relationship Type="http://schemas.openxmlformats.org/officeDocument/2006/relationships/sharedStrings" Target="/xl/sharedStrings.xml" Id="R401f7fb58e3d42a9" /><Relationship Type="http://schemas.openxmlformats.org/officeDocument/2006/relationships/worksheet" Target="/xl/worksheets/sheet1.xml" Id="Rb8244474fc074d75" /><Relationship Type="http://schemas.openxmlformats.org/officeDocument/2006/relationships/worksheet" Target="/xl/worksheets/sheet2.xml" Id="Rdfd16044584d418b" /><Relationship Type="http://schemas.openxmlformats.org/officeDocument/2006/relationships/worksheet" Target="/xl/worksheets/sheet3.xml" Id="Rbea7ad2a0e7b4b14" /><Relationship Type="http://schemas.openxmlformats.org/officeDocument/2006/relationships/worksheet" Target="/xl/worksheets/sheet4.xml" Id="R79f00965959e4ce8" /><Relationship Type="http://schemas.openxmlformats.org/officeDocument/2006/relationships/worksheet" Target="/xl/worksheets/sheet5.xml" Id="Rf7cbbe890cec4821" /></Relationships>
</file>

<file path=xl/tables/table1.xml><?xml version="1.0" encoding="utf-8"?>
<x:table xmlns:x="http://schemas.openxmlformats.org/spreadsheetml/2006/main" id="1" name="CandidatesTable" displayName="CandidatesTable" ref="A4:AD104" headerRowCount="1" totalsRowCount="0" totalsRowShown="0">
  <x:tableColumns count="30">
    <x:tableColumn id="1" name="排名"/>
    <x:tableColumn id="2" name="优先级"/>
    <x:tableColumn id="3" name="PI姓名"/>
    <x:tableColumn id="4" name="国家"/>
    <x:tableColumn id="5" name="机构"/>
    <x:tableColumn id="6" name="公开Email"/>
    <x:tableColumn id="7" name="邮箱可信度"/>
    <x:tableColumn id="8" name="邮箱来源年份"/>
    <x:tableColumn id="9" name="RNA专注领域"/>
    <x:tableColumn id="10" name="临床/疾病方向"/>
    <x:tableColumn id="11" name="临床相关性"/>
    <x:tableColumn id="12" name="RNA匹配分"/>
    <x:tableColumn id="13" name="临床匹配分"/>
    <x:tableColumn id="14" name="联系可信分"/>
    <x:tableColumn id="15" name="证据质量分"/>
    <x:tableColumn id="16" name="综合匹配分"/>
    <x:tableColumn id="17" name="德国优先分"/>
    <x:tableColumn id="18" name="代表性论文"/>
    <x:tableColumn id="19" name="期刊"/>
    <x:tableColumn id="20" name="发表年份"/>
    <x:tableColumn id="21" name="JIF"/>
    <x:tableColumn id="22" name="JIF年份"/>
    <x:tableColumn id="23" name="论文/DOI"/>
    <x:tableColumn id="24" name="JIF来源"/>
    <x:tableColumn id="25" name="Email来源"/>
    <x:tableColumn id="26" name="OpenAlex"/>
    <x:tableColumn id="27" name="ORCID"/>
    <x:tableColumn id="28" name="当前机构国家匹配"/>
    <x:tableColumn id="29" name="联系/证据备注"/>
    <x:tableColumn id="30" name="OpenAlex机构列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rmanyTable" displayName="GermanyTable" ref="A4:L29" headerRowCount="1" totalsRowCount="0" totalsRowShown="0">
  <x:tableColumns count="12">
    <x:tableColumn id="1" name="总排名"/>
    <x:tableColumn id="2" name="PI姓名"/>
    <x:tableColumn id="3" name="机构"/>
    <x:tableColumn id="4" name="公开Email"/>
    <x:tableColumn id="5" name="邮箱可信度"/>
    <x:tableColumn id="6" name="RNA专注领域"/>
    <x:tableColumn id="7" name="临床/疾病方向"/>
    <x:tableColumn id="8" name="代表性论文"/>
    <x:tableColumn id="9" name="JIF"/>
    <x:tableColumn id="10" name="德国优先分"/>
    <x:tableColumn id="11" name="风险/复核提示"/>
    <x:tableColumn id="12" name="论文/DOI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riorityTable" displayName="PriorityTable" ref="A4:J34" headerRowCount="1" totalsRowCount="0" totalsRowShown="0">
  <x:tableColumns count="10">
    <x:tableColumn id="1" name="排名"/>
    <x:tableColumn id="2" name="优先级"/>
    <x:tableColumn id="3" name="PI姓名"/>
    <x:tableColumn id="4" name="国家"/>
    <x:tableColumn id="5" name="机构"/>
    <x:tableColumn id="6" name="公开Email"/>
    <x:tableColumn id="7" name="RNA/疾病匹配"/>
    <x:tableColumn id="8" name="联系优先分"/>
    <x:tableColumn id="9" name="代表性论文"/>
    <x:tableColumn id="10" name="注意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49f7076a2843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c3ffb65ff14c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79adc53d7b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2" hidden="0" customWidth="1"/>
    <x:col min="4" max="4" width="15" hidden="0" customWidth="1"/>
    <x:col min="5" max="5" width="30" hidden="0" customWidth="1"/>
    <x:col min="6" max="6" width="30" hidden="0" customWidth="1"/>
    <x:col min="7" max="7" width="22" hidden="0" customWidth="1"/>
    <x:col min="8" max="8" width="12" hidden="0" customWidth="1"/>
    <x:col min="9" max="9" width="34" hidden="0" customWidth="1"/>
    <x:col min="10" max="10" width="28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1" hidden="0" customWidth="1"/>
    <x:col min="17" max="17" width="11" hidden="0" customWidth="1"/>
    <x:col min="18" max="18" width="48" hidden="0" customWidth="1"/>
    <x:col min="19" max="19" width="25" hidden="0" customWidth="1"/>
    <x:col min="20" max="20" width="10" hidden="0" customWidth="1"/>
    <x:col min="21" max="21" width="8" hidden="0" customWidth="1"/>
    <x:col min="22" max="22" width="9" hidden="0" customWidth="1"/>
    <x:col min="23" max="23" width="38" hidden="0" customWidth="1"/>
    <x:col min="24" max="24" width="38" hidden="0" customWidth="1"/>
    <x:col min="25" max="25" width="38" hidden="0" customWidth="1"/>
    <x:col min="26" max="26" width="32" hidden="0" customWidth="1"/>
    <x:col min="27" max="27" width="30" hidden="0" customWidth="1"/>
    <x:col min="28" max="28" width="14" hidden="0" customWidth="1"/>
    <x:col min="29" max="29" width="44" hidden="0" customWidth="1"/>
    <x:col min="30" max="30" width="48" hidden="0" customWidth="1"/>
  </x:cols>
  <x:sheetData>
    <x:row r="1" ht="32" customHeight="1">
      <x:c r="A1" s="3" t="str">
        <x:v>欧洲 RNA 实验室 Top 100（博士后候选）</x:v>
      </x:c>
    </x:row>
    <x:row r="2" ht="30" customHeight="1">
      <x:c r="A2" s="7" t="str">
        <x:v>德国优先；欧洲范围排除东欧。每位 PI 均附 RNA 相关代表作及 JIF&gt;5 证据。邮箱多来自近期论文通讯信息，发送前请在机构官网复核。检索日期：2026-07-22。</x:v>
      </x:c>
    </x:row>
    <x:row r="4" ht="34" customHeight="1">
      <x:c r="A4" s="13" t="str">
        <x:v>排名</x:v>
      </x:c>
      <x:c r="B4" s="13" t="str">
        <x:v>优先级</x:v>
      </x:c>
      <x:c r="C4" s="13" t="str">
        <x:v>PI姓名</x:v>
      </x:c>
      <x:c r="D4" s="13" t="str">
        <x:v>国家</x:v>
      </x:c>
      <x:c r="E4" s="13" t="str">
        <x:v>机构</x:v>
      </x:c>
      <x:c r="F4" s="13" t="str">
        <x:v>公开Email</x:v>
      </x:c>
      <x:c r="G4" s="13" t="str">
        <x:v>邮箱可信度</x:v>
      </x:c>
      <x:c r="H4" s="13" t="str">
        <x:v>邮箱来源年份</x:v>
      </x:c>
      <x:c r="I4" s="13" t="str">
        <x:v>RNA专注领域</x:v>
      </x:c>
      <x:c r="J4" s="13" t="str">
        <x:v>临床/疾病方向</x:v>
      </x:c>
      <x:c r="K4" s="13" t="str">
        <x:v>临床相关性</x:v>
      </x:c>
      <x:c r="L4" s="13" t="str">
        <x:v>RNA匹配分</x:v>
      </x:c>
      <x:c r="M4" s="13" t="str">
        <x:v>临床匹配分</x:v>
      </x:c>
      <x:c r="N4" s="13" t="str">
        <x:v>联系可信分</x:v>
      </x:c>
      <x:c r="O4" s="13" t="str">
        <x:v>证据质量分</x:v>
      </x:c>
      <x:c r="P4" s="13" t="str">
        <x:v>综合匹配分</x:v>
      </x:c>
      <x:c r="Q4" s="13" t="str">
        <x:v>德国优先分</x:v>
      </x:c>
      <x:c r="R4" s="13" t="str">
        <x:v>代表性论文</x:v>
      </x:c>
      <x:c r="S4" s="13" t="str">
        <x:v>期刊</x:v>
      </x:c>
      <x:c r="T4" s="13" t="str">
        <x:v>发表年份</x:v>
      </x:c>
      <x:c r="U4" s="13" t="str">
        <x:v>JIF</x:v>
      </x:c>
      <x:c r="V4" s="13" t="str">
        <x:v>JIF年份</x:v>
      </x:c>
      <x:c r="W4" s="13" t="str">
        <x:v>论文/DOI</x:v>
      </x:c>
      <x:c r="X4" s="13" t="str">
        <x:v>JIF来源</x:v>
      </x:c>
      <x:c r="Y4" s="13" t="str">
        <x:v>Email来源</x:v>
      </x:c>
      <x:c r="Z4" s="13" t="str">
        <x:v>OpenAlex</x:v>
      </x:c>
      <x:c r="AA4" s="13" t="str">
        <x:v>ORCID</x:v>
      </x:c>
      <x:c r="AB4" s="13" t="str">
        <x:v>当前机构国家匹配</x:v>
      </x:c>
      <x:c r="AC4" s="13" t="str">
        <x:v>联系/证据备注</x:v>
      </x:c>
      <x:c r="AD4" s="13" t="str">
        <x:v>OpenAlex机构列表</x:v>
      </x:c>
    </x:row>
    <x:row r="5">
      <x:c r="A5" s="39" t="n">
        <x:v>1</x:v>
      </x:c>
      <x:c r="B5" s="40" t="str">
        <x:f>IF(Q5&gt;=95,"A-优先联系",IF(Q5&gt;=85,"B-重点关注","C-补充候选"))</x:f>
        <x:v>A-优先联系</x:v>
      </x:c>
      <x:c r="C5" s="25" t="str">
        <x:v>Andreas Keller</x:v>
      </x:c>
      <x:c r="D5" s="25" t="str">
        <x:v>Germany</x:v>
      </x:c>
      <x:c r="E5" s="33" t="str">
        <x:v>Saarland University</x:v>
      </x:c>
      <x:c r="F5" s="33" t="str">
        <x:v>andreas.keller@ccb.uni-saarland.de</x:v>
      </x:c>
      <x:c r="G5" s="45" t="str">
        <x:v>较高（近期论文通讯邮箱）</x:v>
      </x:c>
      <x:c r="H5" s="45" t="n">
        <x:v>2026</x:v>
      </x:c>
      <x:c r="I5" s="33" t="str">
        <x:v>miRNA biomarkers and clinical bioinformatics</x:v>
      </x:c>
      <x:c r="J5" s="33" t="str">
        <x:v>liquid biopsy and precision diagnostics</x:v>
      </x:c>
      <x:c r="K5" s="40" t="str">
        <x:v>高</x:v>
      </x:c>
      <x:c r="L5" s="51" t="n">
        <x:v>5</x:v>
      </x:c>
      <x:c r="M5" s="51" t="n">
        <x:v>5</x:v>
      </x:c>
      <x:c r="N5" s="51" t="n">
        <x:v>2</x:v>
      </x:c>
      <x:c r="O5" s="51" t="n">
        <x:v>2</x:v>
      </x:c>
      <x:c r="P5" s="51" t="n">
        <x:f>L5*7+M5*7+N5*10+O5*5</x:f>
        <x:v>100</x:v>
      </x:c>
      <x:c r="Q5" s="51" t="n">
        <x:f>MIN(100,P5+IF(D5="Germany",10,0))</x:f>
        <x:v>100</x:v>
      </x:c>
      <x:c r="R5" s="33" t="str">
        <x:v>A single-cell atlas to map sex-specific gene-expression changes in blood upon neurodegeneration</x:v>
      </x:c>
      <x:c r="S5" s="25" t="str">
        <x:v>Nature Communications</x:v>
      </x:c>
      <x:c r="T5" s="40" t="n">
        <x:v>2025</x:v>
      </x:c>
      <x:c r="U5" s="48" t="n">
        <x:v>18.1</x:v>
      </x:c>
      <x:c r="V5" s="40" t="n">
        <x:v>2025</x:v>
      </x:c>
      <x:c r="W5" s="25" t="str">
        <x:v>https://doi.org/10.1038/s41467-025-56833-7</x:v>
      </x:c>
      <x:c r="X5" s="25" t="str">
        <x:v>https://www.nature.com/ncomms/ncomms/journal-impact</x:v>
      </x:c>
      <x:c r="Y5" s="25" t="str">
        <x:v>https://europepmc.org/articles/PMC12939772</x:v>
      </x:c>
      <x:c r="Z5" s="25" t="str">
        <x:v>https://openalex.org/A5020280119</x:v>
      </x:c>
      <x:c r="AA5" s="25" t="str">
        <x:v>https://orcid.org/0000-0002-5361-0895</x:v>
      </x:c>
      <x:c r="AB5" s="25" t="str">
        <x:v>是</x:v>
      </x:c>
      <x:c r="AC5" s="33" t="str">
        <x:v>建议发送前再用机构官网确认</x:v>
      </x:c>
      <x:c r="AD5" s="36" t="str">
        <x:v>Helmholtz Institute for Pharmaceutical Research Saarland | Saarland University</x:v>
      </x:c>
    </x:row>
    <x:row r="6">
      <x:c r="A6" s="41" t="n">
        <x:v>2</x:v>
      </x:c>
      <x:c r="B6" s="42" t="str">
        <x:f>IF(Q6&gt;=95,"A-优先联系",IF(Q6&gt;=85,"B-重点关注","C-补充候选"))</x:f>
        <x:v>A-优先联系</x:v>
      </x:c>
      <x:c r="C6" s="28" t="str">
        <x:v>Florian Heyd</x:v>
      </x:c>
      <x:c r="D6" s="28" t="str">
        <x:v>Germany</x:v>
      </x:c>
      <x:c r="E6" s="34" t="str">
        <x:v>Freie Universitat Berlin</x:v>
      </x:c>
      <x:c r="F6" s="34" t="str">
        <x:v>florian.heyd@fu-berlin.de</x:v>
      </x:c>
      <x:c r="G6" s="46" t="str">
        <x:v>较高（近期论文通讯邮箱）</x:v>
      </x:c>
      <x:c r="H6" s="46" t="n">
        <x:v>2025</x:v>
      </x:c>
      <x:c r="I6" s="34" t="str">
        <x:v>Alternative splicing and immune-cell RNA regulation</x:v>
      </x:c>
      <x:c r="J6" s="34" t="str">
        <x:v>immune disease and cancer</x:v>
      </x:c>
      <x:c r="K6" s="42" t="str">
        <x:v>高</x:v>
      </x:c>
      <x:c r="L6" s="52" t="n">
        <x:v>5</x:v>
      </x:c>
      <x:c r="M6" s="52" t="n">
        <x:v>5</x:v>
      </x:c>
      <x:c r="N6" s="52" t="n">
        <x:v>2</x:v>
      </x:c>
      <x:c r="O6" s="52" t="n">
        <x:v>2</x:v>
      </x:c>
      <x:c r="P6" s="52" t="n">
        <x:f>L6*7+M6*7+N6*10+O6*5</x:f>
        <x:v>100</x:v>
      </x:c>
      <x:c r="Q6" s="52" t="n">
        <x:f>MIN(100,P6+IF(D6="Germany",10,0))</x:f>
        <x:v>100</x:v>
      </x:c>
      <x:c r="R6" s="34" t="str">
        <x:v>A Conserved Kinase-Based Body-Temperature Sensor Globally Controls Alternative Splicing and Gene Expression</x:v>
      </x:c>
      <x:c r="S6" s="28" t="str">
        <x:v>Molecular Cell</x:v>
      </x:c>
      <x:c r="T6" s="42" t="n">
        <x:v>2020</x:v>
      </x:c>
      <x:c r="U6" s="49" t="n">
        <x:v>16</x:v>
      </x:c>
      <x:c r="V6" s="42" t="n">
        <x:v>2024</x:v>
      </x:c>
      <x:c r="W6" s="28" t="str">
        <x:v>https://doi.org/10.1016/j.molcel.2020.01.028</x:v>
      </x:c>
      <x:c r="X6" s="28" t="str">
        <x:v>https://www.cell.com/molecular-cell/home</x:v>
      </x:c>
      <x:c r="Y6" s="28" t="str">
        <x:v>https://europepmc.org/articles/PMC12446472</x:v>
      </x:c>
      <x:c r="Z6" s="28" t="str">
        <x:v>https://openalex.org/A5111318513</x:v>
      </x:c>
      <x:c r="AA6" s="28" t="str"/>
      <x:c r="AB6" s="28" t="str">
        <x:v>是</x:v>
      </x:c>
      <x:c r="AC6" s="34" t="str">
        <x:v>建议发送前再用机构官网确认</x:v>
      </x:c>
      <x:c r="AD6" s="37" t="str">
        <x:v>Freie Universität Berlin</x:v>
      </x:c>
    </x:row>
    <x:row r="7">
      <x:c r="A7" s="41" t="n">
        <x:v>3</x:v>
      </x:c>
      <x:c r="B7" s="42" t="str">
        <x:f>IF(Q7&gt;=95,"A-优先联系",IF(Q7&gt;=85,"B-重点关注","C-补充候选"))</x:f>
        <x:v>A-优先联系</x:v>
      </x:c>
      <x:c r="C7" s="28" t="str">
        <x:v>Georg Stoecklin</x:v>
      </x:c>
      <x:c r="D7" s="28" t="str">
        <x:v>Germany</x:v>
      </x:c>
      <x:c r="E7" s="34" t="str">
        <x:v>Heidelberg University</x:v>
      </x:c>
      <x:c r="F7" s="34" t="str">
        <x:v>georg.stoecklin@medma.uni-heidelberg.de</x:v>
      </x:c>
      <x:c r="G7" s="46" t="str">
        <x:v>较高（近期论文通讯邮箱）</x:v>
      </x:c>
      <x:c r="H7" s="46" t="n">
        <x:v>2024</x:v>
      </x:c>
      <x:c r="I7" s="34" t="str">
        <x:v>mRNA decay and post-transcriptional control</x:v>
      </x:c>
      <x:c r="J7" s="34" t="str">
        <x:v>inflammation and cancer</x:v>
      </x:c>
      <x:c r="K7" s="42" t="str">
        <x:v>高</x:v>
      </x:c>
      <x:c r="L7" s="52" t="n">
        <x:v>5</x:v>
      </x:c>
      <x:c r="M7" s="52" t="n">
        <x:v>5</x:v>
      </x:c>
      <x:c r="N7" s="52" t="n">
        <x:v>2</x:v>
      </x:c>
      <x:c r="O7" s="52" t="n">
        <x:v>2</x:v>
      </x:c>
      <x:c r="P7" s="52" t="n">
        <x:f>L7*7+M7*7+N7*10+O7*5</x:f>
        <x:v>100</x:v>
      </x:c>
      <x:c r="Q7" s="52" t="n">
        <x:f>MIN(100,P7+IF(D7="Germany",10,0))</x:f>
        <x:v>100</x:v>
      </x:c>
      <x:c r="R7" s="34" t="str">
        <x:v>The two-step purification method ViREn identifies a single NSUN6-mediated 5-methylcytosine modification promoting dengue virus RNA genome turnover</x:v>
      </x:c>
      <x:c r="S7" s="28" t="str">
        <x:v>Nucleic Acids Research</x:v>
      </x:c>
      <x:c r="T7" s="42" t="n">
        <x:v>2026</x:v>
      </x:c>
      <x:c r="U7" s="49" t="n">
        <x:v>15</x:v>
      </x:c>
      <x:c r="V7" s="42" t="n">
        <x:v>2025</x:v>
      </x:c>
      <x:c r="W7" s="28" t="str">
        <x:v>https://doi.org/10.1093/nar/gkag003</x:v>
      </x:c>
      <x:c r="X7" s="28" t="str">
        <x:v>https://academic.oup.com/nar/pages/about</x:v>
      </x:c>
      <x:c r="Y7" s="28" t="str">
        <x:v>https://europepmc.org/articles/PMC11604940</x:v>
      </x:c>
      <x:c r="Z7" s="28" t="str">
        <x:v>https://openalex.org/A5013622991</x:v>
      </x:c>
      <x:c r="AA7" s="28" t="str">
        <x:v>https://orcid.org/0000-0001-9284-9834</x:v>
      </x:c>
      <x:c r="AB7" s="28" t="str">
        <x:v>是</x:v>
      </x:c>
      <x:c r="AC7" s="34" t="str">
        <x:v>建议发送前再用机构官网确认</x:v>
      </x:c>
      <x:c r="AD7" s="37" t="str">
        <x:v>University of Mannheim | German Cancer Research Center | Heidelberg University | University Hospital Heidelberg | DKFZ-ZMBH Alliance | University Medical Centre Mannheim</x:v>
      </x:c>
    </x:row>
    <x:row r="8">
      <x:c r="A8" s="41" t="n">
        <x:v>4</x:v>
      </x:c>
      <x:c r="B8" s="42" t="str">
        <x:f>IF(Q8&gt;=95,"A-优先联系",IF(Q8&gt;=85,"B-重点关注","C-补充候选"))</x:f>
        <x:v>A-优先联系</x:v>
      </x:c>
      <x:c r="C8" s="28" t="str">
        <x:v>Jan Medenbach</x:v>
      </x:c>
      <x:c r="D8" s="28" t="str">
        <x:v>Germany</x:v>
      </x:c>
      <x:c r="E8" s="34" t="str">
        <x:v>University of Regensburg</x:v>
      </x:c>
      <x:c r="F8" s="34" t="str">
        <x:v>Jan.Medenbach@ur.de</x:v>
      </x:c>
      <x:c r="G8" s="46" t="str">
        <x:v>较高（近期论文通讯邮箱）</x:v>
      </x:c>
      <x:c r="H8" s="46" t="n">
        <x:v>2023</x:v>
      </x:c>
      <x:c r="I8" s="34" t="str">
        <x:v>Translational control and RNA-binding proteins</x:v>
      </x:c>
      <x:c r="J8" s="34" t="str">
        <x:v>cancer and metabolic disease</x:v>
      </x:c>
      <x:c r="K8" s="42" t="str">
        <x:v>高</x:v>
      </x:c>
      <x:c r="L8" s="52" t="n">
        <x:v>5</x:v>
      </x:c>
      <x:c r="M8" s="52" t="n">
        <x:v>5</x:v>
      </x:c>
      <x:c r="N8" s="52" t="n">
        <x:v>2</x:v>
      </x:c>
      <x:c r="O8" s="52" t="n">
        <x:v>2</x:v>
      </x:c>
      <x:c r="P8" s="52" t="n">
        <x:f>L8*7+M8*7+N8*10+O8*5</x:f>
        <x:v>100</x:v>
      </x:c>
      <x:c r="Q8" s="52" t="n">
        <x:f>MIN(100,P8+IF(D8="Germany",10,0))</x:f>
        <x:v>100</x:v>
      </x:c>
      <x:c r="R8" s="34" t="str">
        <x:v>A rapid protocol for ribosome profiling of low input samples</x:v>
      </x:c>
      <x:c r="S8" s="28" t="str">
        <x:v>Nucleic Acids Research</x:v>
      </x:c>
      <x:c r="T8" s="42" t="n">
        <x:v>2023</x:v>
      </x:c>
      <x:c r="U8" s="49" t="n">
        <x:v>15</x:v>
      </x:c>
      <x:c r="V8" s="42" t="n">
        <x:v>2025</x:v>
      </x:c>
      <x:c r="W8" s="28" t="str">
        <x:v>https://doi.org/10.1093/nar/gkad459</x:v>
      </x:c>
      <x:c r="X8" s="28" t="str">
        <x:v>https://academic.oup.com/nar/pages/about</x:v>
      </x:c>
      <x:c r="Y8" s="28" t="str">
        <x:v>https://europepmc.org/articles/PMC10758357</x:v>
      </x:c>
      <x:c r="Z8" s="28" t="str">
        <x:v>https://openalex.org/A5072419423</x:v>
      </x:c>
      <x:c r="AA8" s="28" t="str">
        <x:v>https://orcid.org/0000-0003-0749-7788</x:v>
      </x:c>
      <x:c r="AB8" s="28" t="str">
        <x:v>是</x:v>
      </x:c>
      <x:c r="AC8" s="34" t="str">
        <x:v>建议发送前再用机构官网确认</x:v>
      </x:c>
      <x:c r="AD8" s="37" t="str">
        <x:v>University of Regensburg | RWTH Aachen University</x:v>
      </x:c>
    </x:row>
    <x:row r="9">
      <x:c r="A9" s="41" t="n">
        <x:v>5</x:v>
      </x:c>
      <x:c r="B9" s="42" t="str">
        <x:f>IF(Q9&gt;=95,"A-优先联系",IF(Q9&gt;=85,"B-重点关注","C-补充候选"))</x:f>
        <x:v>A-优先联系</x:v>
      </x:c>
      <x:c r="C9" s="28" t="str">
        <x:v>Jorg Vogel</x:v>
      </x:c>
      <x:c r="D9" s="28" t="str">
        <x:v>Germany</x:v>
      </x:c>
      <x:c r="E9" s="34" t="str">
        <x:v>University of Wurzburg / HIRI</x:v>
      </x:c>
      <x:c r="F9" s="34" t="str">
        <x:v>joerg.vogel@uni-wuerzburg.de</x:v>
      </x:c>
      <x:c r="G9" s="46" t="str">
        <x:v>较高（近期论文通讯邮箱）</x:v>
      </x:c>
      <x:c r="H9" s="46" t="n">
        <x:v>2025</x:v>
      </x:c>
      <x:c r="I9" s="34" t="str">
        <x:v>RNA biology of bacterial infection and RNA therapeutics</x:v>
      </x:c>
      <x:c r="J9" s="34" t="str">
        <x:v>infectious disease</x:v>
      </x:c>
      <x:c r="K9" s="42" t="str">
        <x:v>高</x:v>
      </x:c>
      <x:c r="L9" s="52" t="n">
        <x:v>5</x:v>
      </x:c>
      <x:c r="M9" s="52" t="n">
        <x:v>5</x:v>
      </x:c>
      <x:c r="N9" s="52" t="n">
        <x:v>2</x:v>
      </x:c>
      <x:c r="O9" s="52" t="n">
        <x:v>2</x:v>
      </x:c>
      <x:c r="P9" s="52" t="n">
        <x:f>L9*7+M9*7+N9*10+O9*5</x:f>
        <x:v>100</x:v>
      </x:c>
      <x:c r="Q9" s="52" t="n">
        <x:f>MIN(100,P9+IF(D9="Germany",10,0))</x:f>
        <x:v>100</x:v>
      </x:c>
      <x:c r="R9" s="34" t="str">
        <x:v>Translation-dependent degradation of cas12 mRNA triggered by an anti-CRISPR</x:v>
      </x:c>
      <x:c r="S9" s="28" t="str">
        <x:v>Nature</x:v>
      </x:c>
      <x:c r="T9" s="42" t="n">
        <x:v>2026</x:v>
      </x:c>
      <x:c r="U9" s="49" t="n">
        <x:v>48.5</x:v>
      </x:c>
      <x:c r="V9" s="42" t="n">
        <x:v>2024</x:v>
      </x:c>
      <x:c r="W9" s="28" t="str">
        <x:v>https://doi.org/10.1038/s41586-026-10440-8</x:v>
      </x:c>
      <x:c r="X9" s="28" t="str">
        <x:v>https://www.nature.com/nature/journal-impact</x:v>
      </x:c>
      <x:c r="Y9" s="28" t="str">
        <x:v>https://europepmc.org/articles/PMC12571901</x:v>
      </x:c>
      <x:c r="Z9" s="28" t="str">
        <x:v>https://openalex.org/A5037571507</x:v>
      </x:c>
      <x:c r="AA9" s="28" t="str">
        <x:v>https://orcid.org/0000-0003-2220-1404</x:v>
      </x:c>
      <x:c r="AB9" s="28" t="str">
        <x:v>是</x:v>
      </x:c>
      <x:c r="AC9" s="34" t="str">
        <x:v>建议发送前再用机构官网确认</x:v>
      </x:c>
      <x:c r="AD9" s="37" t="str">
        <x:v>University of Würzburg | Medical Mission Institute | Helmholtz Centre for Infection Research | Innovation Cluster (Canada) | Helmholtz Institute for RNA-based Infection Research</x:v>
      </x:c>
    </x:row>
    <x:row r="10">
      <x:c r="A10" s="41" t="n">
        <x:v>6</x:v>
      </x:c>
      <x:c r="B10" s="42" t="str">
        <x:f>IF(Q10&gt;=95,"A-优先联系",IF(Q10&gt;=85,"B-重点关注","C-补充候选"))</x:f>
        <x:v>A-优先联系</x:v>
      </x:c>
      <x:c r="C10" s="28" t="str">
        <x:v>Lars Dolken</x:v>
      </x:c>
      <x:c r="D10" s="28" t="str">
        <x:v>Germany</x:v>
      </x:c>
      <x:c r="E10" s="34" t="str">
        <x:v>University of Wurzburg</x:v>
      </x:c>
      <x:c r="F10" s="34" t="str">
        <x:v>Doelken.Lars@mh-hannover.de</x:v>
      </x:c>
      <x:c r="G10" s="46" t="str">
        <x:v>较高（近期论文通讯邮箱）</x:v>
      </x:c>
      <x:c r="H10" s="46" t="n">
        <x:v>2026</x:v>
      </x:c>
      <x:c r="I10" s="34" t="str">
        <x:v>Viral RNA, transcriptomics and antiviral mechanisms</x:v>
      </x:c>
      <x:c r="J10" s="34" t="str">
        <x:v>viral infection</x:v>
      </x:c>
      <x:c r="K10" s="42" t="str">
        <x:v>高</x:v>
      </x:c>
      <x:c r="L10" s="52" t="n">
        <x:v>5</x:v>
      </x:c>
      <x:c r="M10" s="52" t="n">
        <x:v>5</x:v>
      </x:c>
      <x:c r="N10" s="52" t="n">
        <x:v>2</x:v>
      </x:c>
      <x:c r="O10" s="52" t="n">
        <x:v>2</x:v>
      </x:c>
      <x:c r="P10" s="52" t="n">
        <x:f>L10*7+M10*7+N10*10+O10*5</x:f>
        <x:v>100</x:v>
      </x:c>
      <x:c r="Q10" s="52" t="n">
        <x:f>MIN(100,P10+IF(D10="Germany",10,0))</x:f>
        <x:v>100</x:v>
      </x:c>
      <x:c r="R10" s="34" t="str">
        <x:v>Host cell Z-RNAs activate ZBP1 during virus infections</x:v>
      </x:c>
      <x:c r="S10" s="28" t="str">
        <x:v>Nature</x:v>
      </x:c>
      <x:c r="T10" s="42" t="n">
        <x:v>2025</x:v>
      </x:c>
      <x:c r="U10" s="49" t="n">
        <x:v>48.5</x:v>
      </x:c>
      <x:c r="V10" s="42" t="n">
        <x:v>2024</x:v>
      </x:c>
      <x:c r="W10" s="28" t="str">
        <x:v>https://doi.org/10.1038/s41586-025-09705-5</x:v>
      </x:c>
      <x:c r="X10" s="28" t="str">
        <x:v>https://www.nature.com/nature/journal-impact</x:v>
      </x:c>
      <x:c r="Y10" s="28" t="str">
        <x:v>https://europepmc.org/articles/PMC13229380</x:v>
      </x:c>
      <x:c r="Z10" s="28" t="str">
        <x:v>https://openalex.org/A5069299747</x:v>
      </x:c>
      <x:c r="AA10" s="28" t="str">
        <x:v>https://orcid.org/0000-0002-4651-3544</x:v>
      </x:c>
      <x:c r="AB10" s="28" t="str">
        <x:v>是</x:v>
      </x:c>
      <x:c r="AC10" s="34" t="str">
        <x:v>建议发送前再用机构官网确认</x:v>
      </x:c>
      <x:c r="AD10" s="37" t="str">
        <x:v>University of Würzburg | Medizinische Hochschule Hannover</x:v>
      </x:c>
    </x:row>
    <x:row r="11">
      <x:c r="A11" s="41" t="n">
        <x:v>7</x:v>
      </x:c>
      <x:c r="B11" s="42" t="str">
        <x:f>IF(Q11&gt;=95,"A-优先联系",IF(Q11&gt;=85,"B-重点关注","C-补充候选"))</x:f>
        <x:v>A-优先联系</x:v>
      </x:c>
      <x:c r="C11" s="28" t="str">
        <x:v>Lars Zender</x:v>
      </x:c>
      <x:c r="D11" s="28" t="str">
        <x:v>Germany</x:v>
      </x:c>
      <x:c r="E11" s="34" t="str">
        <x:v>University Hospital Tubingen</x:v>
      </x:c>
      <x:c r="F11" s="34" t="str">
        <x:v>lars.zender@med.uni-tuebingen.de</x:v>
      </x:c>
      <x:c r="G11" s="46" t="str">
        <x:v>较高（近期论文通讯邮箱）</x:v>
      </x:c>
      <x:c r="H11" s="46" t="n">
        <x:v>2024</x:v>
      </x:c>
      <x:c r="I11" s="34" t="str">
        <x:v>Functional genomics and non-coding RNA in cancer</x:v>
      </x:c>
      <x:c r="J11" s="34" t="str">
        <x:v>liver cancer</x:v>
      </x:c>
      <x:c r="K11" s="42" t="str">
        <x:v>高</x:v>
      </x:c>
      <x:c r="L11" s="52" t="n">
        <x:v>5</x:v>
      </x:c>
      <x:c r="M11" s="52" t="n">
        <x:v>5</x:v>
      </x:c>
      <x:c r="N11" s="52" t="n">
        <x:v>2</x:v>
      </x:c>
      <x:c r="O11" s="52" t="n">
        <x:v>2</x:v>
      </x:c>
      <x:c r="P11" s="52" t="n">
        <x:f>L11*7+M11*7+N11*10+O11*5</x:f>
        <x:v>100</x:v>
      </x:c>
      <x:c r="Q11" s="52" t="n">
        <x:f>MIN(100,P11+IF(D11="Germany",10,0))</x:f>
        <x:v>100</x:v>
      </x:c>
      <x:c r="R11" s="34" t="str">
        <x:v>Author Correction: mTOR regulates MAPKAPK2 translation to control the senescence-associated secretory phenotype</x:v>
      </x:c>
      <x:c r="S11" s="28" t="str">
        <x:v>Nature Cell Biology</x:v>
      </x:c>
      <x:c r="T11" s="42" t="n">
        <x:v>2024</x:v>
      </x:c>
      <x:c r="U11" s="49" t="n">
        <x:v>17.3</x:v>
      </x:c>
      <x:c r="V11" s="42" t="n">
        <x:v>2024</x:v>
      </x:c>
      <x:c r="W11" s="28" t="str">
        <x:v>https://doi.org/10.1038/s41556-024-01443-6</x:v>
      </x:c>
      <x:c r="X11" s="28" t="str">
        <x:v>https://www.nature.com/ncb/journal-impact</x:v>
      </x:c>
      <x:c r="Y11" s="28" t="str">
        <x:v>https://europepmc.org/articles/PMC11444366</x:v>
      </x:c>
      <x:c r="Z11" s="28" t="str">
        <x:v>https://openalex.org/A5052075637</x:v>
      </x:c>
      <x:c r="AA11" s="28" t="str">
        <x:v>https://orcid.org/0000-0001-7626-2849</x:v>
      </x:c>
      <x:c r="AB11" s="28" t="str">
        <x:v>是</x:v>
      </x:c>
      <x:c r="AC11" s="34" t="str">
        <x:v>建议发送前再用机构官网确认</x:v>
      </x:c>
      <x:c r="AD11" s="37" t="str">
        <x:v>Universitätsklinikum Tübingen | University Children's Hospital Tübingen | Bernstein Center for Computational Neuroscience Tübingen | University of Tübingen</x:v>
      </x:c>
    </x:row>
    <x:row r="12">
      <x:c r="A12" s="41" t="n">
        <x:v>8</x:v>
      </x:c>
      <x:c r="B12" s="42" t="str">
        <x:f>IF(Q12&gt;=95,"A-优先联系",IF(Q12&gt;=85,"B-重点关注","C-补充候选"))</x:f>
        <x:v>A-优先联系</x:v>
      </x:c>
      <x:c r="C12" s="28" t="str">
        <x:v>Michaela Frye</x:v>
      </x:c>
      <x:c r="D12" s="28" t="str">
        <x:v>Germany</x:v>
      </x:c>
      <x:c r="E12" s="34" t="str">
        <x:v>German Cancer Research Center</x:v>
      </x:c>
      <x:c r="F12" s="34" t="str">
        <x:v>m.frye@dkfz.de</x:v>
      </x:c>
      <x:c r="G12" s="46" t="str">
        <x:v>较高（近期论文通讯邮箱）</x:v>
      </x:c>
      <x:c r="H12" s="46" t="n">
        <x:v>2025</x:v>
      </x:c>
      <x:c r="I12" s="34" t="str">
        <x:v>RNA modifications and stem-cell/cancer biology</x:v>
      </x:c>
      <x:c r="J12" s="34" t="str">
        <x:v>cancer and tissue regeneration</x:v>
      </x:c>
      <x:c r="K12" s="42" t="str">
        <x:v>高</x:v>
      </x:c>
      <x:c r="L12" s="52" t="n">
        <x:v>5</x:v>
      </x:c>
      <x:c r="M12" s="52" t="n">
        <x:v>5</x:v>
      </x:c>
      <x:c r="N12" s="52" t="n">
        <x:v>2</x:v>
      </x:c>
      <x:c r="O12" s="52" t="n">
        <x:v>2</x:v>
      </x:c>
      <x:c r="P12" s="52" t="n">
        <x:f>L12*7+M12*7+N12*10+O12*5</x:f>
        <x:v>100</x:v>
      </x:c>
      <x:c r="Q12" s="52" t="n">
        <x:f>MIN(100,P12+IF(D12="Germany",10,0))</x:f>
        <x:v>100</x:v>
      </x:c>
      <x:c r="R12" s="34" t="str">
        <x:v>Disrupting tRNA modifications to target mitochondrial vulnerabilities in drug-resistant leukemia cells</x:v>
      </x:c>
      <x:c r="S12" s="28" t="str">
        <x:v>Blood</x:v>
      </x:c>
      <x:c r="T12" s="42" t="n">
        <x:v>2025</x:v>
      </x:c>
      <x:c r="U12" s="49" t="n">
        <x:v>21</x:v>
      </x:c>
      <x:c r="V12" s="42" t="n">
        <x:v>2024</x:v>
      </x:c>
      <x:c r="W12" s="28" t="str">
        <x:v>https://doi.org/10.1182/blood.2024027822</x:v>
      </x:c>
      <x:c r="X12" s="28" t="str">
        <x:v>https://ashpublications.org/blood/pages/about</x:v>
      </x:c>
      <x:c r="Y12" s="28" t="str">
        <x:v>https://europepmc.org/articles/PMC12824680</x:v>
      </x:c>
      <x:c r="Z12" s="28" t="str">
        <x:v>https://openalex.org/A5025823078</x:v>
      </x:c>
      <x:c r="AA12" s="28" t="str">
        <x:v>https://orcid.org/0000-0002-5636-6840</x:v>
      </x:c>
      <x:c r="AB12" s="28" t="str">
        <x:v>是</x:v>
      </x:c>
      <x:c r="AC12" s="34" t="str">
        <x:v>建议发送前再用机构官网确认</x:v>
      </x:c>
      <x:c r="AD12" s="37" t="str">
        <x:v>German Cancer Research Center | Heidelberg University | DKFZ-ZMBH Alliance</x:v>
      </x:c>
    </x:row>
    <x:row r="13">
      <x:c r="A13" s="41" t="n">
        <x:v>9</x:v>
      </x:c>
      <x:c r="B13" s="42" t="str">
        <x:f>IF(Q13&gt;=95,"A-优先联系",IF(Q13&gt;=85,"B-重点关注","C-补充候选"))</x:f>
        <x:v>A-优先联系</x:v>
      </x:c>
      <x:c r="C13" s="28" t="str">
        <x:v>Niels Gehring</x:v>
      </x:c>
      <x:c r="D13" s="28" t="str">
        <x:v>Germany</x:v>
      </x:c>
      <x:c r="E13" s="34" t="str">
        <x:v>University of Cologne</x:v>
      </x:c>
      <x:c r="F13" s="34" t="str">
        <x:v>ngehring@uni-koeln.de</x:v>
      </x:c>
      <x:c r="G13" s="46" t="str">
        <x:v>较高（近期论文通讯邮箱）</x:v>
      </x:c>
      <x:c r="H13" s="46" t="n">
        <x:v>2026</x:v>
      </x:c>
      <x:c r="I13" s="34" t="str">
        <x:v>RNA quality control and nonsense-mediated decay</x:v>
      </x:c>
      <x:c r="J13" s="34" t="str">
        <x:v>genetic disease</x:v>
      </x:c>
      <x:c r="K13" s="42" t="str">
        <x:v>高</x:v>
      </x:c>
      <x:c r="L13" s="52" t="n">
        <x:v>5</x:v>
      </x:c>
      <x:c r="M13" s="52" t="n">
        <x:v>5</x:v>
      </x:c>
      <x:c r="N13" s="52" t="n">
        <x:v>2</x:v>
      </x:c>
      <x:c r="O13" s="52" t="n">
        <x:v>2</x:v>
      </x:c>
      <x:c r="P13" s="52" t="n">
        <x:f>L13*7+M13*7+N13*10+O13*5</x:f>
        <x:v>100</x:v>
      </x:c>
      <x:c r="Q13" s="52" t="n">
        <x:f>MIN(100,P13+IF(D13="Germany",10,0))</x:f>
        <x:v>100</x:v>
      </x:c>
      <x:c r="R13" s="34" t="str">
        <x:v>SMG1:SMG8:SMG9-complex integrity supports efficient execution of nonsense-mediated mRNA decay</x:v>
      </x:c>
      <x:c r="S13" s="28" t="str">
        <x:v>Nucleic Acids Research</x:v>
      </x:c>
      <x:c r="T13" s="42" t="n">
        <x:v>2026</x:v>
      </x:c>
      <x:c r="U13" s="49" t="n">
        <x:v>15</x:v>
      </x:c>
      <x:c r="V13" s="42" t="n">
        <x:v>2025</x:v>
      </x:c>
      <x:c r="W13" s="28" t="str">
        <x:v>https://doi.org/10.1093/nar/gkag193</x:v>
      </x:c>
      <x:c r="X13" s="28" t="str">
        <x:v>https://academic.oup.com/nar/pages/about</x:v>
      </x:c>
      <x:c r="Y13" s="28" t="str">
        <x:v>https://europepmc.org/articles/PMC12923823</x:v>
      </x:c>
      <x:c r="Z13" s="28" t="str">
        <x:v>https://openalex.org/A5035016185</x:v>
      </x:c>
      <x:c r="AA13" s="28" t="str">
        <x:v>https://orcid.org/0000-0001-7792-1164</x:v>
      </x:c>
      <x:c r="AB13" s="28" t="str">
        <x:v>是</x:v>
      </x:c>
      <x:c r="AC13" s="34" t="str">
        <x:v>建议发送前再用机构官网确认</x:v>
      </x:c>
      <x:c r="AD13" s="37" t="str">
        <x:v>TH Köln - University of Applied Sciences | University of Cologne</x:v>
      </x:c>
    </x:row>
    <x:row r="14">
      <x:c r="A14" s="41" t="n">
        <x:v>10</x:v>
      </x:c>
      <x:c r="B14" s="42" t="str">
        <x:f>IF(Q14&gt;=95,"A-优先联系",IF(Q14&gt;=85,"B-重点关注","C-补充候选"))</x:f>
        <x:v>A-优先联系</x:v>
      </x:c>
      <x:c r="C14" s="28" t="str">
        <x:v>Nikolaus Rajewsky</x:v>
      </x:c>
      <x:c r="D14" s="28" t="str">
        <x:v>Germany</x:v>
      </x:c>
      <x:c r="E14" s="34" t="str">
        <x:v>Max Delbruck Center</x:v>
      </x:c>
      <x:c r="F14" s="34" t="str">
        <x:v>rajewsky@mdc-berlin.de</x:v>
      </x:c>
      <x:c r="G14" s="46" t="str">
        <x:v>较高（近期论文通讯邮箱）</x:v>
      </x:c>
      <x:c r="H14" s="46" t="n">
        <x:v>2026</x:v>
      </x:c>
      <x:c r="I14" s="34" t="str">
        <x:v>Systems biology, single-cell RNA and regulatory RNA</x:v>
      </x:c>
      <x:c r="J14" s="34" t="str">
        <x:v>precision medicine and disease models</x:v>
      </x:c>
      <x:c r="K14" s="42" t="str">
        <x:v>高</x:v>
      </x:c>
      <x:c r="L14" s="52" t="n">
        <x:v>5</x:v>
      </x:c>
      <x:c r="M14" s="52" t="n">
        <x:v>5</x:v>
      </x:c>
      <x:c r="N14" s="52" t="n">
        <x:v>2</x:v>
      </x:c>
      <x:c r="O14" s="52" t="n">
        <x:v>2</x:v>
      </x:c>
      <x:c r="P14" s="52" t="n">
        <x:f>L14*7+M14*7+N14*10+O14*5</x:f>
        <x:v>100</x:v>
      </x:c>
      <x:c r="Q14" s="52" t="n">
        <x:f>MIN(100,P14+IF(D14="Germany",10,0))</x:f>
        <x:v>100</x:v>
      </x:c>
      <x:c r="R14" s="34" t="str">
        <x:v>The Biodiversity Cell Atlas: mapping the tree of life at cellular resolution</x:v>
      </x:c>
      <x:c r="S14" s="28" t="str">
        <x:v>Nature</x:v>
      </x:c>
      <x:c r="T14" s="42" t="n">
        <x:v>2025</x:v>
      </x:c>
      <x:c r="U14" s="49" t="n">
        <x:v>48.5</x:v>
      </x:c>
      <x:c r="V14" s="42" t="n">
        <x:v>2024</x:v>
      </x:c>
      <x:c r="W14" s="28" t="str">
        <x:v>https://doi.org/10.1038/s41586-025-09312-4</x:v>
      </x:c>
      <x:c r="X14" s="28" t="str">
        <x:v>https://www.nature.com/nature/journal-impact</x:v>
      </x:c>
      <x:c r="Y14" s="28" t="str">
        <x:v>https://europepmc.org/articles/PMC12990811</x:v>
      </x:c>
      <x:c r="Z14" s="28" t="str">
        <x:v>https://openalex.org/A5073506559</x:v>
      </x:c>
      <x:c r="AA14" s="28" t="str">
        <x:v>https://orcid.org/0000-0002-4785-4332</x:v>
      </x:c>
      <x:c r="AB14" s="28" t="str">
        <x:v>是</x:v>
      </x:c>
      <x:c r="AC14" s="34" t="str">
        <x:v>建议发送前再用机构官网确认</x:v>
      </x:c>
      <x:c r="AD14" s="37" t="str">
        <x:v>German Cancer Research Center | Max Delbrück Center | German Center for Neurodegenerative Diseases | Humboldt-Universität zu Berlin | MSB Medical School Berlin | German Cancer Society | National Center for Tumor Diseases | German Centre for Cardiovascular Research | Berlin Institute of Health at Charité - Universitätsmedizin Berlin | Berliner Wasserbetriebe (Germany) | Deutschen Konsortium für Translationale Krebsforschung | Freie Universität Berlin | Charité - Universitätsmedizin Berlin</x:v>
      </x:c>
    </x:row>
    <x:row r="15">
      <x:c r="A15" s="41" t="n">
        <x:v>11</x:v>
      </x:c>
      <x:c r="B15" s="42" t="str">
        <x:f>IF(Q15&gt;=95,"A-优先联系",IF(Q15&gt;=85,"B-重点关注","C-补充候选"))</x:f>
        <x:v>A-优先联系</x:v>
      </x:c>
      <x:c r="C15" s="28" t="str">
        <x:v>Oliver Stegle</x:v>
      </x:c>
      <x:c r="D15" s="28" t="str">
        <x:v>Germany</x:v>
      </x:c>
      <x:c r="E15" s="34" t="str">
        <x:v>EMBL / DKFZ</x:v>
      </x:c>
      <x:c r="F15" s="34" t="str">
        <x:v>oliver.stegle@embl.de</x:v>
      </x:c>
      <x:c r="G15" s="46" t="str">
        <x:v>较高（近期论文通讯邮箱）</x:v>
      </x:c>
      <x:c r="H15" s="46" t="n">
        <x:v>2025</x:v>
      </x:c>
      <x:c r="I15" s="34" t="str">
        <x:v>Single-cell genomics and statistical transcriptomics</x:v>
      </x:c>
      <x:c r="J15" s="34" t="str">
        <x:v>cancer and precision medicine</x:v>
      </x:c>
      <x:c r="K15" s="42" t="str">
        <x:v>高</x:v>
      </x:c>
      <x:c r="L15" s="52" t="n">
        <x:v>5</x:v>
      </x:c>
      <x:c r="M15" s="52" t="n">
        <x:v>5</x:v>
      </x:c>
      <x:c r="N15" s="52" t="n">
        <x:v>2</x:v>
      </x:c>
      <x:c r="O15" s="52" t="n">
        <x:v>2</x:v>
      </x:c>
      <x:c r="P15" s="52" t="n">
        <x:f>L15*7+M15*7+N15*10+O15*5</x:f>
        <x:v>100</x:v>
      </x:c>
      <x:c r="Q15" s="52" t="n">
        <x:f>MIN(100,P15+IF(D15="Germany",10,0))</x:f>
        <x:v>100</x:v>
      </x:c>
      <x:c r="R15" s="34" t="str">
        <x:v>Cell2fate infers RNA velocity modules to improve cell fate prediction</x:v>
      </x:c>
      <x:c r="S15" s="28" t="str">
        <x:v>Nature Methods</x:v>
      </x:c>
      <x:c r="T15" s="42" t="n">
        <x:v>2025</x:v>
      </x:c>
      <x:c r="U15" s="49" t="n">
        <x:v>32.1</x:v>
      </x:c>
      <x:c r="V15" s="42" t="n">
        <x:v>2024</x:v>
      </x:c>
      <x:c r="W15" s="28" t="str">
        <x:v>https://doi.org/10.1038/s41592-025-02608-3</x:v>
      </x:c>
      <x:c r="X15" s="28" t="str">
        <x:v>https://www.nature.com/nmeth/journal-impact</x:v>
      </x:c>
      <x:c r="Y15" s="28" t="str">
        <x:v>https://europepmc.org/articles/PMC12903452</x:v>
      </x:c>
      <x:c r="Z15" s="28" t="str">
        <x:v>https://openalex.org/A5091002491</x:v>
      </x:c>
      <x:c r="AA15" s="28" t="str">
        <x:v>https://orcid.org/0000-0002-8818-7193</x:v>
      </x:c>
      <x:c r="AB15" s="28" t="str">
        <x:v>是</x:v>
      </x:c>
      <x:c r="AC15" s="34" t="str">
        <x:v>建议发送前再用机构官网确认</x:v>
      </x:c>
      <x:c r="AD15" s="37" t="str">
        <x:v>German Cancer Research Center | Heidelberg University | Wellcome Sanger Institute | European Molecular Biology Laboratory</x:v>
      </x:c>
    </x:row>
    <x:row r="16">
      <x:c r="A16" s="41" t="n">
        <x:v>12</x:v>
      </x:c>
      <x:c r="B16" s="42" t="str">
        <x:f>IF(Q16&gt;=95,"A-优先联系",IF(Q16&gt;=85,"B-重点关注","C-补充候选"))</x:f>
        <x:v>A-优先联系</x:v>
      </x:c>
      <x:c r="C16" s="28" t="str">
        <x:v>Stefan Engelhardt</x:v>
      </x:c>
      <x:c r="D16" s="28" t="str">
        <x:v>Germany</x:v>
      </x:c>
      <x:c r="E16" s="34" t="str">
        <x:v>Technical University of Munich / Helmholtz Munich</x:v>
      </x:c>
      <x:c r="F16" s="34" t="str">
        <x:v>Stefan.engelhardt@tum.de</x:v>
      </x:c>
      <x:c r="G16" s="46" t="str">
        <x:v>较高（近期论文通讯邮箱）</x:v>
      </x:c>
      <x:c r="H16" s="46" t="n">
        <x:v>2023</x:v>
      </x:c>
      <x:c r="I16" s="34" t="str">
        <x:v>Non-coding RNA and oligonucleotide therapeutics</x:v>
      </x:c>
      <x:c r="J16" s="34" t="str">
        <x:v>cardiovascular disease</x:v>
      </x:c>
      <x:c r="K16" s="42" t="str">
        <x:v>高</x:v>
      </x:c>
      <x:c r="L16" s="52" t="n">
        <x:v>5</x:v>
      </x:c>
      <x:c r="M16" s="52" t="n">
        <x:v>5</x:v>
      </x:c>
      <x:c r="N16" s="52" t="n">
        <x:v>2</x:v>
      </x:c>
      <x:c r="O16" s="52" t="n">
        <x:v>2</x:v>
      </x:c>
      <x:c r="P16" s="52" t="n">
        <x:f>L16*7+M16*7+N16*10+O16*5</x:f>
        <x:v>100</x:v>
      </x:c>
      <x:c r="Q16" s="52" t="n">
        <x:f>MIN(100,P16+IF(D16="Germany",10,0))</x:f>
        <x:v>100</x:v>
      </x:c>
      <x:c r="R16" s="34" t="str">
        <x:v>Allele-specific genomics decodes gene targets and mechanisms of the non-coding genome</x:v>
      </x:c>
      <x:c r="S16" s="28" t="str">
        <x:v>Nucleic Acids Research</x:v>
      </x:c>
      <x:c r="T16" s="42" t="n">
        <x:v>2025</x:v>
      </x:c>
      <x:c r="U16" s="49" t="n">
        <x:v>15</x:v>
      </x:c>
      <x:c r="V16" s="42" t="n">
        <x:v>2025</x:v>
      </x:c>
      <x:c r="W16" s="28" t="str">
        <x:v>https://doi.org/10.1093/nar/gkaf912</x:v>
      </x:c>
      <x:c r="X16" s="28" t="str">
        <x:v>https://academic.oup.com/nar/pages/about</x:v>
      </x:c>
      <x:c r="Y16" s="28" t="str">
        <x:v>https://europepmc.org/articles/PMC10382532</x:v>
      </x:c>
      <x:c r="Z16" s="28" t="str">
        <x:v>https://openalex.org/A5073084904</x:v>
      </x:c>
      <x:c r="AA16" s="28" t="str">
        <x:v>https://orcid.org/0000-0001-5378-8661</x:v>
      </x:c>
      <x:c r="AB16" s="28" t="str">
        <x:v>是</x:v>
      </x:c>
      <x:c r="AC16" s="34" t="str">
        <x:v>建议发送前再用机构官网确认</x:v>
      </x:c>
      <x:c r="AD16" s="37" t="str">
        <x:v>Heidelberg University | University Hospital Heidelberg | German Centre for Cardiovascular Research | Technical University of Munich</x:v>
      </x:c>
    </x:row>
    <x:row r="17">
      <x:c r="A17" s="41" t="n">
        <x:v>13</x:v>
      </x:c>
      <x:c r="B17" s="42" t="str">
        <x:f>IF(Q17&gt;=95,"A-优先联系",IF(Q17&gt;=85,"B-重点关注","C-补充候选"))</x:f>
        <x:v>A-优先联系</x:v>
      </x:c>
      <x:c r="C17" s="28" t="str">
        <x:v>Stefan Huttelmaier</x:v>
      </x:c>
      <x:c r="D17" s="28" t="str">
        <x:v>Germany</x:v>
      </x:c>
      <x:c r="E17" s="34" t="str">
        <x:v>Martin Luther University Halle-Wittenberg</x:v>
      </x:c>
      <x:c r="F17" s="34" t="str">
        <x:v>stefan.huettelmaier@medizin.uni-halle.de</x:v>
      </x:c>
      <x:c r="G17" s="46" t="str">
        <x:v>较高（近期论文通讯邮箱）</x:v>
      </x:c>
      <x:c r="H17" s="46" t="n">
        <x:v>2026</x:v>
      </x:c>
      <x:c r="I17" s="34" t="str">
        <x:v>RNA-binding proteins and post-transcriptional cancer biology</x:v>
      </x:c>
      <x:c r="J17" s="34" t="str">
        <x:v>cancer progression and biomarkers</x:v>
      </x:c>
      <x:c r="K17" s="42" t="str">
        <x:v>高</x:v>
      </x:c>
      <x:c r="L17" s="52" t="n">
        <x:v>5</x:v>
      </x:c>
      <x:c r="M17" s="52" t="n">
        <x:v>5</x:v>
      </x:c>
      <x:c r="N17" s="52" t="n">
        <x:v>2</x:v>
      </x:c>
      <x:c r="O17" s="52" t="n">
        <x:v>2</x:v>
      </x:c>
      <x:c r="P17" s="52" t="n">
        <x:f>L17*7+M17*7+N17*10+O17*5</x:f>
        <x:v>100</x:v>
      </x:c>
      <x:c r="Q17" s="52" t="n">
        <x:f>MIN(100,P17+IF(D17="Germany",10,0))</x:f>
        <x:v>100</x:v>
      </x:c>
      <x:c r="R17" s="34" t="str">
        <x:v>Lineage-restricted dependency on an oncofetal SNHG29-IGF2BP1 RNA axis in acute megakaryoblastic leukemia</x:v>
      </x:c>
      <x:c r="S17" s="28" t="str">
        <x:v>Leukemia</x:v>
      </x:c>
      <x:c r="T17" s="42" t="n">
        <x:v>2026</x:v>
      </x:c>
      <x:c r="U17" s="49" t="n">
        <x:v>13.4</x:v>
      </x:c>
      <x:c r="V17" s="42" t="n">
        <x:v>2024</x:v>
      </x:c>
      <x:c r="W17" s="28" t="str">
        <x:v>https://doi.org/10.1038/s41375-026-03040-y</x:v>
      </x:c>
      <x:c r="X17" s="28" t="str">
        <x:v>https://www.nature.com/leu/journal-impact</x:v>
      </x:c>
      <x:c r="Y17" s="28" t="str">
        <x:v>https://europepmc.org/articles/PMC13029781</x:v>
      </x:c>
      <x:c r="Z17" s="28" t="str">
        <x:v>https://openalex.org/A5065864748</x:v>
      </x:c>
      <x:c r="AA17" s="28" t="str">
        <x:v>https://orcid.org/0000-0001-9335-4227</x:v>
      </x:c>
      <x:c r="AB17" s="28" t="str">
        <x:v>是</x:v>
      </x:c>
      <x:c r="AC17" s="34" t="str">
        <x:v>建议发送前再用机构官网确认</x:v>
      </x:c>
      <x:c r="AD17" s="37" t="str">
        <x:v>Martin Luther University Halle-Wittenberg</x:v>
      </x:c>
    </x:row>
    <x:row r="18">
      <x:c r="A18" s="41" t="n">
        <x:v>14</x:v>
      </x:c>
      <x:c r="B18" s="42" t="str">
        <x:f>IF(Q18&gt;=95,"A-优先联系",IF(Q18&gt;=85,"B-重点关注","C-补充候选"))</x:f>
        <x:v>A-优先联系</x:v>
      </x:c>
      <x:c r="C18" s="28" t="str">
        <x:v>Sven Danckwardt</x:v>
      </x:c>
      <x:c r="D18" s="28" t="str">
        <x:v>Germany</x:v>
      </x:c>
      <x:c r="E18" s="34" t="str">
        <x:v>University Medical Center Mainz</x:v>
      </x:c>
      <x:c r="F18" s="34" t="str">
        <x:v>Sven.Danckwardt@unimedizin-mainz.de</x:v>
      </x:c>
      <x:c r="G18" s="46" t="str">
        <x:v>较高（近期论文通讯邮箱）</x:v>
      </x:c>
      <x:c r="H18" s="46" t="n">
        <x:v>2023</x:v>
      </x:c>
      <x:c r="I18" s="34" t="str">
        <x:v>Post-transcriptional RNA regulation and RNA therapeutics</x:v>
      </x:c>
      <x:c r="J18" s="34" t="str">
        <x:v>inflammation, vascular disease and cancer</x:v>
      </x:c>
      <x:c r="K18" s="42" t="str">
        <x:v>高</x:v>
      </x:c>
      <x:c r="L18" s="52" t="n">
        <x:v>5</x:v>
      </x:c>
      <x:c r="M18" s="52" t="n">
        <x:v>5</x:v>
      </x:c>
      <x:c r="N18" s="52" t="n">
        <x:v>2</x:v>
      </x:c>
      <x:c r="O18" s="52" t="n">
        <x:v>2</x:v>
      </x:c>
      <x:c r="P18" s="52" t="n">
        <x:f>L18*7+M18*7+N18*10+O18*5</x:f>
        <x:v>100</x:v>
      </x:c>
      <x:c r="Q18" s="52" t="n">
        <x:f>MIN(100,P18+IF(D18="Germany",10,0))</x:f>
        <x:v>100</x:v>
      </x:c>
      <x:c r="R18" s="34" t="str">
        <x:v>TREND-DB—a transcriptome-wide atlas of the dynamic landscape of alternative polyadenylation</x:v>
      </x:c>
      <x:c r="S18" s="28" t="str">
        <x:v>Nucleic Acids Research</x:v>
      </x:c>
      <x:c r="T18" s="42" t="n">
        <x:v>2020</x:v>
      </x:c>
      <x:c r="U18" s="49" t="n">
        <x:v>15</x:v>
      </x:c>
      <x:c r="V18" s="42" t="n">
        <x:v>2025</x:v>
      </x:c>
      <x:c r="W18" s="28" t="str">
        <x:v>https://doi.org/10.1093/nar/gkaa722</x:v>
      </x:c>
      <x:c r="X18" s="28" t="str">
        <x:v>https://academic.oup.com/nar/pages/about</x:v>
      </x:c>
      <x:c r="Y18" s="28" t="str">
        <x:v>https://europepmc.org/articles/PMC10325701</x:v>
      </x:c>
      <x:c r="Z18" s="28" t="str">
        <x:v>https://openalex.org/A5033188383</x:v>
      </x:c>
      <x:c r="AA18" s="28" t="str">
        <x:v>https://orcid.org/0000-0002-3176-2265</x:v>
      </x:c>
      <x:c r="AB18" s="28" t="str">
        <x:v>是</x:v>
      </x:c>
      <x:c r="AC18" s="34" t="str">
        <x:v>建议发送前再用机构官网确认</x:v>
      </x:c>
      <x:c r="AD18" s="37" t="str">
        <x:v>Universität Ulm | Johannes Gutenberg University Mainz | University Medical Center of the Johannes Gutenberg University Mainz | University Hospital Ulm</x:v>
      </x:c>
    </x:row>
    <x:row r="19">
      <x:c r="A19" s="41" t="n">
        <x:v>15</x:v>
      </x:c>
      <x:c r="B19" s="42" t="str">
        <x:f>IF(Q19&gt;=95,"A-优先联系",IF(Q19&gt;=85,"B-重点关注","C-补充候选"))</x:f>
        <x:v>A-优先联系</x:v>
      </x:c>
      <x:c r="C19" s="28" t="str">
        <x:v>Tony Gutschner</x:v>
      </x:c>
      <x:c r="D19" s="28" t="str">
        <x:v>Germany</x:v>
      </x:c>
      <x:c r="E19" s="34" t="str">
        <x:v>Martin Luther University Halle-Wittenberg</x:v>
      </x:c>
      <x:c r="F19" s="34" t="str">
        <x:v>tony.gutschner@uk-halle.de</x:v>
      </x:c>
      <x:c r="G19" s="46" t="str">
        <x:v>较高（近期论文通讯邮箱）</x:v>
      </x:c>
      <x:c r="H19" s="46" t="n">
        <x:v>2026</x:v>
      </x:c>
      <x:c r="I19" s="34" t="str">
        <x:v>Long non-coding RNA and functional cancer genomics</x:v>
      </x:c>
      <x:c r="J19" s="34" t="str">
        <x:v>cancer biomarkers and therapy</x:v>
      </x:c>
      <x:c r="K19" s="42" t="str">
        <x:v>高</x:v>
      </x:c>
      <x:c r="L19" s="52" t="n">
        <x:v>5</x:v>
      </x:c>
      <x:c r="M19" s="52" t="n">
        <x:v>5</x:v>
      </x:c>
      <x:c r="N19" s="52" t="n">
        <x:v>2</x:v>
      </x:c>
      <x:c r="O19" s="52" t="n">
        <x:v>2</x:v>
      </x:c>
      <x:c r="P19" s="52" t="n">
        <x:f>L19*7+M19*7+N19*10+O19*5</x:f>
        <x:v>100</x:v>
      </x:c>
      <x:c r="Q19" s="52" t="n">
        <x:f>MIN(100,P19+IF(D19="Germany",10,0))</x:f>
        <x:v>100</x:v>
      </x:c>
      <x:c r="R19" s="34" t="str">
        <x:v>RAVER1 hinders lethal EMT and modulates miR/RISC activity by the control of alternative splicing</x:v>
      </x:c>
      <x:c r="S19" s="28" t="str">
        <x:v>Nucleic Acids Research</x:v>
      </x:c>
      <x:c r="T19" s="42" t="n">
        <x:v>2024</x:v>
      </x:c>
      <x:c r="U19" s="49" t="n">
        <x:v>15</x:v>
      </x:c>
      <x:c r="V19" s="42" t="n">
        <x:v>2025</x:v>
      </x:c>
      <x:c r="W19" s="28" t="str">
        <x:v>https://doi.org/10.1093/nar/gkae046</x:v>
      </x:c>
      <x:c r="X19" s="28" t="str">
        <x:v>https://academic.oup.com/nar/pages/about</x:v>
      </x:c>
      <x:c r="Y19" s="28" t="str">
        <x:v>https://europepmc.org/articles/PMC13170383</x:v>
      </x:c>
      <x:c r="Z19" s="28" t="str">
        <x:v>https://openalex.org/A5063332455</x:v>
      </x:c>
      <x:c r="AA19" s="28" t="str">
        <x:v>https://orcid.org/0000-0002-1722-3134</x:v>
      </x:c>
      <x:c r="AB19" s="28" t="str">
        <x:v>是</x:v>
      </x:c>
      <x:c r="AC19" s="34" t="str">
        <x:v>建议发送前再用机构官网确认</x:v>
      </x:c>
      <x:c r="AD19" s="37" t="str">
        <x:v>Luther University | Martin Luther University Halle-Wittenberg</x:v>
      </x:c>
    </x:row>
    <x:row r="20">
      <x:c r="A20" s="41" t="n">
        <x:v>16</x:v>
      </x:c>
      <x:c r="B20" s="42" t="str">
        <x:f>IF(Q20&gt;=95,"A-优先联系",IF(Q20&gt;=85,"B-重点关注","C-补充候选"))</x:f>
        <x:v>A-优先联系</x:v>
      </x:c>
      <x:c r="C20" s="28" t="str">
        <x:v>Alessandro Fatica</x:v>
      </x:c>
      <x:c r="D20" s="28" t="str">
        <x:v>Italy</x:v>
      </x:c>
      <x:c r="E20" s="34" t="str">
        <x:v>Sapienza University of Rome</x:v>
      </x:c>
      <x:c r="F20" s="34" t="str">
        <x:v>alessandro.fatica@uniroma1.it</x:v>
      </x:c>
      <x:c r="G20" s="46" t="str">
        <x:v>较高（近期论文通讯邮箱）</x:v>
      </x:c>
      <x:c r="H20" s="46" t="n">
        <x:v>2026</x:v>
      </x:c>
      <x:c r="I20" s="34" t="str">
        <x:v>Non-coding RNA and RNA modifications</x:v>
      </x:c>
      <x:c r="J20" s="34" t="str">
        <x:v>leukemia</x:v>
      </x:c>
      <x:c r="K20" s="42" t="str">
        <x:v>高</x:v>
      </x:c>
      <x:c r="L20" s="52" t="n">
        <x:v>5</x:v>
      </x:c>
      <x:c r="M20" s="52" t="n">
        <x:v>5</x:v>
      </x:c>
      <x:c r="N20" s="52" t="n">
        <x:v>2</x:v>
      </x:c>
      <x:c r="O20" s="52" t="n">
        <x:v>2</x:v>
      </x:c>
      <x:c r="P20" s="52" t="n">
        <x:f>L20*7+M20*7+N20*10+O20*5</x:f>
        <x:v>100</x:v>
      </x:c>
      <x:c r="Q20" s="52" t="n">
        <x:f>MIN(100,P20+IF(D20="Germany",10,0))</x:f>
        <x:v>100</x:v>
      </x:c>
      <x:c r="R20" s="34" t="str">
        <x:v>RNA sequestration in P-bodies sustains myeloid leukaemia</x:v>
      </x:c>
      <x:c r="S20" s="28" t="str">
        <x:v>Nature Cell Biology</x:v>
      </x:c>
      <x:c r="T20" s="42" t="n">
        <x:v>2024</x:v>
      </x:c>
      <x:c r="U20" s="49" t="n">
        <x:v>17.3</x:v>
      </x:c>
      <x:c r="V20" s="42" t="n">
        <x:v>2024</x:v>
      </x:c>
      <x:c r="W20" s="28" t="str">
        <x:v>https://doi.org/10.1038/s41556-024-01489-6</x:v>
      </x:c>
      <x:c r="X20" s="28" t="str">
        <x:v>https://www.nature.com/ncb/journal-impact</x:v>
      </x:c>
      <x:c r="Y20" s="28" t="str">
        <x:v>https://europepmc.org/articles/PMC13129109</x:v>
      </x:c>
      <x:c r="Z20" s="28" t="str">
        <x:v>https://openalex.org/A5035886740</x:v>
      </x:c>
      <x:c r="AA20" s="28" t="str">
        <x:v>https://orcid.org/0000-0002-0743-7905</x:v>
      </x:c>
      <x:c r="AB20" s="28" t="str">
        <x:v>是</x:v>
      </x:c>
      <x:c r="AC20" s="34" t="str">
        <x:v>建议发送前再用机构官网确认</x:v>
      </x:c>
      <x:c r="AD20" s="37" t="str">
        <x:v>Sapienza University of Rome</x:v>
      </x:c>
    </x:row>
    <x:row r="21">
      <x:c r="A21" s="41" t="n">
        <x:v>17</x:v>
      </x:c>
      <x:c r="B21" s="42" t="str">
        <x:f>IF(Q21&gt;=95,"A-优先联系",IF(Q21&gt;=85,"B-重点关注","C-补充候选"))</x:f>
        <x:v>A-优先联系</x:v>
      </x:c>
      <x:c r="C21" s="28" t="str">
        <x:v>Alessandro Quattrone</x:v>
      </x:c>
      <x:c r="D21" s="28" t="str">
        <x:v>Italy</x:v>
      </x:c>
      <x:c r="E21" s="34" t="str">
        <x:v>University of Trento</x:v>
      </x:c>
      <x:c r="F21" s="34" t="str">
        <x:v>alessandro.quattrone@unitn.it</x:v>
      </x:c>
      <x:c r="G21" s="46" t="str">
        <x:v>较高（近期论文通讯邮箱）</x:v>
      </x:c>
      <x:c r="H21" s="46" t="n">
        <x:v>2024</x:v>
      </x:c>
      <x:c r="I21" s="34" t="str">
        <x:v>Translational control and RNA in cancer</x:v>
      </x:c>
      <x:c r="J21" s="34" t="str">
        <x:v>cancer</x:v>
      </x:c>
      <x:c r="K21" s="42" t="str">
        <x:v>高</x:v>
      </x:c>
      <x:c r="L21" s="52" t="n">
        <x:v>5</x:v>
      </x:c>
      <x:c r="M21" s="52" t="n">
        <x:v>5</x:v>
      </x:c>
      <x:c r="N21" s="52" t="n">
        <x:v>2</x:v>
      </x:c>
      <x:c r="O21" s="52" t="n">
        <x:v>2</x:v>
      </x:c>
      <x:c r="P21" s="52" t="n">
        <x:f>L21*7+M21*7+N21*10+O21*5</x:f>
        <x:v>100</x:v>
      </x:c>
      <x:c r="Q21" s="52" t="n">
        <x:f>MIN(100,P21+IF(D21="Germany",10,0))</x:f>
        <x:v>100</x:v>
      </x:c>
      <x:c r="R21" s="34" t="str">
        <x:v>Translational enhancement by base editing of the Kozak sequence rescues haploinsufficiency</x:v>
      </x:c>
      <x:c r="S21" s="28" t="str">
        <x:v>Nucleic Acids Research</x:v>
      </x:c>
      <x:c r="T21" s="42" t="n">
        <x:v>2022</x:v>
      </x:c>
      <x:c r="U21" s="49" t="n">
        <x:v>15</x:v>
      </x:c>
      <x:c r="V21" s="42" t="n">
        <x:v>2025</x:v>
      </x:c>
      <x:c r="W21" s="28" t="str">
        <x:v>https://doi.org/10.1093/nar/gkac799</x:v>
      </x:c>
      <x:c r="X21" s="28" t="str">
        <x:v>https://academic.oup.com/nar/pages/about</x:v>
      </x:c>
      <x:c r="Y21" s="28" t="str">
        <x:v>https://europepmc.org/articles/PMC11474903</x:v>
      </x:c>
      <x:c r="Z21" s="28" t="str">
        <x:v>https://openalex.org/A5085732836</x:v>
      </x:c>
      <x:c r="AA21" s="28" t="str">
        <x:v>https://orcid.org/0000-0003-3333-7630</x:v>
      </x:c>
      <x:c r="AB21" s="28" t="str">
        <x:v>是</x:v>
      </x:c>
      <x:c r="AC21" s="34" t="str">
        <x:v>建议发送前再用机构官网确认</x:v>
      </x:c>
      <x:c r="AD21" s="37" t="str">
        <x:v>University of Trento</x:v>
      </x:c>
    </x:row>
    <x:row r="22">
      <x:c r="A22" s="41" t="n">
        <x:v>18</x:v>
      </x:c>
      <x:c r="B22" s="42" t="str">
        <x:f>IF(Q22&gt;=95,"A-优先联系",IF(Q22&gt;=85,"B-重点关注","C-补充候选"))</x:f>
        <x:v>A-优先联系</x:v>
      </x:c>
      <x:c r="C22" s="28" t="str">
        <x:v>Anders Stahlberg</x:v>
      </x:c>
      <x:c r="D22" s="28" t="str">
        <x:v>Sweden</x:v>
      </x:c>
      <x:c r="E22" s="34" t="str">
        <x:v>University of Gothenburg</x:v>
      </x:c>
      <x:c r="F22" s="34" t="str">
        <x:v>anders.stahlberg@gu.se</x:v>
      </x:c>
      <x:c r="G22" s="46" t="str">
        <x:v>较高（近期论文通讯邮箱）</x:v>
      </x:c>
      <x:c r="H22" s="46" t="n">
        <x:v>2026</x:v>
      </x:c>
      <x:c r="I22" s="34" t="str">
        <x:v>Liquid biopsy, RNA biomarkers and molecular diagnostics</x:v>
      </x:c>
      <x:c r="J22" s="34" t="str">
        <x:v>cancer diagnostics</x:v>
      </x:c>
      <x:c r="K22" s="42" t="str">
        <x:v>高</x:v>
      </x:c>
      <x:c r="L22" s="52" t="n">
        <x:v>5</x:v>
      </x:c>
      <x:c r="M22" s="52" t="n">
        <x:v>5</x:v>
      </x:c>
      <x:c r="N22" s="52" t="n">
        <x:v>2</x:v>
      </x:c>
      <x:c r="O22" s="52" t="n">
        <x:v>2</x:v>
      </x:c>
      <x:c r="P22" s="52" t="n">
        <x:f>L22*7+M22*7+N22*10+O22*5</x:f>
        <x:v>100</x:v>
      </x:c>
      <x:c r="Q22" s="52" t="n">
        <x:f>MIN(100,P22+IF(D22="Germany",10,0))</x:f>
        <x:v>100</x:v>
      </x:c>
      <x:c r="R22" s="34" t="str">
        <x:v>CRISPR-Cas target recognition for sensing viral and cancer biomarkers</x:v>
      </x:c>
      <x:c r="S22" s="28" t="str">
        <x:v>Nucleic Acids Research</x:v>
      </x:c>
      <x:c r="T22" s="42" t="n">
        <x:v>2024</x:v>
      </x:c>
      <x:c r="U22" s="49" t="n">
        <x:v>15</x:v>
      </x:c>
      <x:c r="V22" s="42" t="n">
        <x:v>2025</x:v>
      </x:c>
      <x:c r="W22" s="28" t="str">
        <x:v>https://doi.org/10.1093/nar/gkae736</x:v>
      </x:c>
      <x:c r="X22" s="28" t="str">
        <x:v>https://academic.oup.com/nar/pages/about</x:v>
      </x:c>
      <x:c r="Y22" s="28" t="str">
        <x:v>https://europepmc.org/articles/PMC13026911</x:v>
      </x:c>
      <x:c r="Z22" s="28" t="str">
        <x:v>https://openalex.org/A5026031146</x:v>
      </x:c>
      <x:c r="AA22" s="28" t="str">
        <x:v>https://orcid.org/0000-0003-4243-0191</x:v>
      </x:c>
      <x:c r="AB22" s="28" t="str">
        <x:v>是</x:v>
      </x:c>
      <x:c r="AC22" s="34" t="str">
        <x:v>建议发送前再用机构官网确认</x:v>
      </x:c>
      <x:c r="AD22" s="37" t="str">
        <x:v>Sahlgrenska University Hospital | Region Västra Götaland | Institute for Biomedicine | Wallenberg Wood Science Center | University of Gothenburg</x:v>
      </x:c>
    </x:row>
    <x:row r="23">
      <x:c r="A23" s="41" t="n">
        <x:v>19</x:v>
      </x:c>
      <x:c r="B23" s="42" t="str">
        <x:f>IF(Q23&gt;=95,"A-优先联系",IF(Q23&gt;=85,"B-重点关注","C-补充候选"))</x:f>
        <x:v>A-优先联系</x:v>
      </x:c>
      <x:c r="C23" s="28" t="str">
        <x:v>Andreas Meyerhans</x:v>
      </x:c>
      <x:c r="D23" s="28" t="str">
        <x:v>Spain</x:v>
      </x:c>
      <x:c r="E23" s="34" t="str">
        <x:v>Pompeu Fabra University</x:v>
      </x:c>
      <x:c r="F23" s="34" t="str">
        <x:v>andreas.meyerhans@upf.edu</x:v>
      </x:c>
      <x:c r="G23" s="46" t="str">
        <x:v>较高（近期论文通讯邮箱）</x:v>
      </x:c>
      <x:c r="H23" s="46" t="n">
        <x:v>2026</x:v>
      </x:c>
      <x:c r="I23" s="34" t="str">
        <x:v>RNA viruses and antiviral immunity</x:v>
      </x:c>
      <x:c r="J23" s="34" t="str">
        <x:v>HIV and emerging viruses</x:v>
      </x:c>
      <x:c r="K23" s="42" t="str">
        <x:v>高</x:v>
      </x:c>
      <x:c r="L23" s="52" t="n">
        <x:v>5</x:v>
      </x:c>
      <x:c r="M23" s="52" t="n">
        <x:v>5</x:v>
      </x:c>
      <x:c r="N23" s="52" t="n">
        <x:v>2</x:v>
      </x:c>
      <x:c r="O23" s="52" t="n">
        <x:v>2</x:v>
      </x:c>
      <x:c r="P23" s="52" t="n">
        <x:f>L23*7+M23*7+N23*10+O23*5</x:f>
        <x:v>100</x:v>
      </x:c>
      <x:c r="Q23" s="52" t="n">
        <x:f>MIN(100,P23+IF(D23="Germany",10,0))</x:f>
        <x:v>100</x:v>
      </x:c>
      <x:c r="R23" s="34" t="str">
        <x:v>XCR1+ DCs are critical for T cell-mediated immunotherapy of chronic viral infections</x:v>
      </x:c>
      <x:c r="S23" s="28" t="str">
        <x:v>Cell Reports</x:v>
      </x:c>
      <x:c r="T23" s="42" t="n">
        <x:v>2023</x:v>
      </x:c>
      <x:c r="U23" s="49" t="n">
        <x:v>7.5</x:v>
      </x:c>
      <x:c r="V23" s="42" t="n">
        <x:v>2024</x:v>
      </x:c>
      <x:c r="W23" s="28" t="str">
        <x:v>https://doi.org/10.1016/j.celrep.2023.112123</x:v>
      </x:c>
      <x:c r="X23" s="28" t="str">
        <x:v>https://www.cell.com/cell-reports/home</x:v>
      </x:c>
      <x:c r="Y23" s="28" t="str">
        <x:v>https://europepmc.org/articles/PMC12943367</x:v>
      </x:c>
      <x:c r="Z23" s="28" t="str">
        <x:v>https://openalex.org/A5029705489</x:v>
      </x:c>
      <x:c r="AA23" s="28" t="str">
        <x:v>https://orcid.org/0000-0003-0620-5317</x:v>
      </x:c>
      <x:c r="AB23" s="28" t="str">
        <x:v>是</x:v>
      </x:c>
      <x:c r="AC23" s="34" t="str">
        <x:v>建议发送前再用机构官网确认</x:v>
      </x:c>
      <x:c r="AD23" s="37" t="str">
        <x:v>Institució Catalana de Recerca i Estudis Avançats | Universitat Pompeu Fabra</x:v>
      </x:c>
    </x:row>
    <x:row r="24">
      <x:c r="A24" s="41" t="n">
        <x:v>20</x:v>
      </x:c>
      <x:c r="B24" s="42" t="str">
        <x:f>IF(Q24&gt;=95,"A-优先联系",IF(Q24&gt;=85,"B-重点关注","C-补充候选"))</x:f>
        <x:v>A-优先联系</x:v>
      </x:c>
      <x:c r="C24" s="28" t="str">
        <x:v>Annemieke Aartsma-Rus</x:v>
      </x:c>
      <x:c r="D24" s="28" t="str">
        <x:v>Netherlands</x:v>
      </x:c>
      <x:c r="E24" s="34" t="str">
        <x:v>Leiden University Medical Center</x:v>
      </x:c>
      <x:c r="F24" s="34" t="str">
        <x:v>a.m.aartsma-rus@lumc.nl</x:v>
      </x:c>
      <x:c r="G24" s="46" t="str">
        <x:v>较高（近期论文通讯邮箱）</x:v>
      </x:c>
      <x:c r="H24" s="46" t="n">
        <x:v>2025</x:v>
      </x:c>
      <x:c r="I24" s="34" t="str">
        <x:v>Antisense oligonucleotide and RNA therapies</x:v>
      </x:c>
      <x:c r="J24" s="34" t="str">
        <x:v>Duchenne muscular dystrophy</x:v>
      </x:c>
      <x:c r="K24" s="42" t="str">
        <x:v>高</x:v>
      </x:c>
      <x:c r="L24" s="52" t="n">
        <x:v>5</x:v>
      </x:c>
      <x:c r="M24" s="52" t="n">
        <x:v>5</x:v>
      </x:c>
      <x:c r="N24" s="52" t="n">
        <x:v>2</x:v>
      </x:c>
      <x:c r="O24" s="52" t="n">
        <x:v>2</x:v>
      </x:c>
      <x:c r="P24" s="52" t="n">
        <x:f>L24*7+M24*7+N24*10+O24*5</x:f>
        <x:v>100</x:v>
      </x:c>
      <x:c r="Q24" s="52" t="n">
        <x:f>MIN(100,P24+IF(D24="Germany",10,0))</x:f>
        <x:v>100</x:v>
      </x:c>
      <x:c r="R24" s="34" t="str">
        <x:v>Spatial transcriptomics reveal markers of histopathological changes in Duchenne muscular dystrophy mouse models</x:v>
      </x:c>
      <x:c r="S24" s="28" t="str">
        <x:v>Nature Communications</x:v>
      </x:c>
      <x:c r="T24" s="42" t="n">
        <x:v>2023</x:v>
      </x:c>
      <x:c r="U24" s="49" t="n">
        <x:v>18.1</x:v>
      </x:c>
      <x:c r="V24" s="42" t="n">
        <x:v>2025</x:v>
      </x:c>
      <x:c r="W24" s="28" t="str">
        <x:v>https://doi.org/10.1038/s41467-023-40555-9</x:v>
      </x:c>
      <x:c r="X24" s="28" t="str">
        <x:v>https://www.nature.com/ncomms/ncomms/journal-impact</x:v>
      </x:c>
      <x:c r="Y24" s="28" t="str">
        <x:v>https://europepmc.org/articles/PMC12329520</x:v>
      </x:c>
      <x:c r="Z24" s="28" t="str">
        <x:v>https://openalex.org/A5033643112</x:v>
      </x:c>
      <x:c r="AA24" s="28" t="str">
        <x:v>https://orcid.org/0000-0003-1565-654X</x:v>
      </x:c>
      <x:c r="AB24" s="28" t="str">
        <x:v>是</x:v>
      </x:c>
      <x:c r="AC24" s="34" t="str">
        <x:v>建议发送前再用机构官网确认</x:v>
      </x:c>
      <x:c r="AD24" s="37" t="str">
        <x:v>Leiden University Medical Center | Duchenne Parent Project</x:v>
      </x:c>
    </x:row>
    <x:row r="25">
      <x:c r="A25" s="41" t="n">
        <x:v>21</x:v>
      </x:c>
      <x:c r="B25" s="42" t="str">
        <x:f>IF(Q25&gt;=95,"A-优先联系",IF(Q25&gt;=85,"B-重点关注","C-补充候选"))</x:f>
        <x:v>A-优先联系</x:v>
      </x:c>
      <x:c r="C25" s="28" t="str">
        <x:v>Bart De Strooper</x:v>
      </x:c>
      <x:c r="D25" s="28" t="str">
        <x:v>Belgium</x:v>
      </x:c>
      <x:c r="E25" s="34" t="str">
        <x:v>VIB-KU Leuven / UK Dementia Research Institute</x:v>
      </x:c>
      <x:c r="F25" s="34" t="str">
        <x:v>b.strooper@ukdri.ucl.ac.uk</x:v>
      </x:c>
      <x:c r="G25" s="46" t="str">
        <x:v>较高（近期论文通讯邮箱）</x:v>
      </x:c>
      <x:c r="H25" s="46" t="n">
        <x:v>2026</x:v>
      </x:c>
      <x:c r="I25" s="34" t="str">
        <x:v>Single-cell transcriptomics and neurodegeneration</x:v>
      </x:c>
      <x:c r="J25" s="34" t="str">
        <x:v>Alzheimer's disease</x:v>
      </x:c>
      <x:c r="K25" s="42" t="str">
        <x:v>高</x:v>
      </x:c>
      <x:c r="L25" s="52" t="n">
        <x:v>5</x:v>
      </x:c>
      <x:c r="M25" s="52" t="n">
        <x:v>5</x:v>
      </x:c>
      <x:c r="N25" s="52" t="n">
        <x:v>2</x:v>
      </x:c>
      <x:c r="O25" s="52" t="n">
        <x:v>2</x:v>
      </x:c>
      <x:c r="P25" s="52" t="n">
        <x:f>L25*7+M25*7+N25*10+O25*5</x:f>
        <x:v>100</x:v>
      </x:c>
      <x:c r="Q25" s="52" t="n">
        <x:f>MIN(100,P25+IF(D25="Germany",10,0))</x:f>
        <x:v>100</x:v>
      </x:c>
      <x:c r="R25" s="34" t="str">
        <x:v>The APOE isoforms differentially shape the transcriptomic and epigenomic landscapes of human microglia xenografted into a mouse model of Alzheimer’s disease</x:v>
      </x:c>
      <x:c r="S25" s="28" t="str">
        <x:v>Nature Communications</x:v>
      </x:c>
      <x:c r="T25" s="42" t="n">
        <x:v>2025</x:v>
      </x:c>
      <x:c r="U25" s="49" t="n">
        <x:v>18.1</x:v>
      </x:c>
      <x:c r="V25" s="42" t="n">
        <x:v>2025</x:v>
      </x:c>
      <x:c r="W25" s="28" t="str">
        <x:v>https://doi.org/10.1038/s41467-025-60099-4</x:v>
      </x:c>
      <x:c r="X25" s="28" t="str">
        <x:v>https://www.nature.com/ncomms/ncomms/journal-impact</x:v>
      </x:c>
      <x:c r="Y25" s="28" t="str">
        <x:v>https://europepmc.org/articles/PMC13278961</x:v>
      </x:c>
      <x:c r="Z25" s="28" t="str">
        <x:v>https://openalex.org/A5021772353</x:v>
      </x:c>
      <x:c r="AA25" s="28" t="str">
        <x:v>https://orcid.org/0000-0001-5455-5819</x:v>
      </x:c>
      <x:c r="AB25" s="28" t="str">
        <x:v>是</x:v>
      </x:c>
      <x:c r="AC25" s="34" t="str">
        <x:v>建议发送前再用机构官网确认</x:v>
      </x:c>
      <x:c r="AD25" s="37" t="str">
        <x:v>Allen Institute for Brain Science | The Francis Crick Institute | Vlaams Instituut voor Biotechnologie | VIB-KU Leuven Center for Cancer Biology | Dementia UK | UK Dementia Research Institute | VIB-KU Leuven Center for Brain &amp; Disease Research | University College London | KU Leuven</x:v>
      </x:c>
    </x:row>
    <x:row r="26">
      <x:c r="A26" s="41" t="n">
        <x:v>22</x:v>
      </x:c>
      <x:c r="B26" s="42" t="str">
        <x:f>IF(Q26&gt;=95,"A-优先联系",IF(Q26&gt;=85,"B-重点关注","C-补充候选"))</x:f>
        <x:v>A-优先联系</x:v>
      </x:c>
      <x:c r="C26" s="28" t="str">
        <x:v>Botond Roska</x:v>
      </x:c>
      <x:c r="D26" s="28" t="str">
        <x:v>Switzerland</x:v>
      </x:c>
      <x:c r="E26" s="34" t="str">
        <x:v>Institute of Molecular and Clinical Ophthalmology Basel</x:v>
      </x:c>
      <x:c r="F26" s="34" t="str">
        <x:v>botond.roska@iob.ch</x:v>
      </x:c>
      <x:c r="G26" s="46" t="str">
        <x:v>较高（近期论文通讯邮箱）</x:v>
      </x:c>
      <x:c r="H26" s="46" t="n">
        <x:v>2026</x:v>
      </x:c>
      <x:c r="I26" s="34" t="str">
        <x:v>Single-cell transcriptomics and gene therapy</x:v>
      </x:c>
      <x:c r="J26" s="34" t="str">
        <x:v>blindness and retinal disease</x:v>
      </x:c>
      <x:c r="K26" s="42" t="str">
        <x:v>高</x:v>
      </x:c>
      <x:c r="L26" s="52" t="n">
        <x:v>5</x:v>
      </x:c>
      <x:c r="M26" s="52" t="n">
        <x:v>5</x:v>
      </x:c>
      <x:c r="N26" s="52" t="n">
        <x:v>2</x:v>
      </x:c>
      <x:c r="O26" s="52" t="n">
        <x:v>2</x:v>
      </x:c>
      <x:c r="P26" s="52" t="n">
        <x:f>L26*7+M26*7+N26*10+O26*5</x:f>
        <x:v>100</x:v>
      </x:c>
      <x:c r="Q26" s="52" t="n">
        <x:f>MIN(100,P26+IF(D26="Germany",10,0))</x:f>
        <x:v>100</x:v>
      </x:c>
      <x:c r="R26" s="34" t="str">
        <x:v>Roadmap for direct and indirect translation of optogenetics into discoveries and therapies for humans</x:v>
      </x:c>
      <x:c r="S26" s="28" t="str">
        <x:v>Nature Neuroscience</x:v>
      </x:c>
      <x:c r="T26" s="42" t="n">
        <x:v>2025</x:v>
      </x:c>
      <x:c r="U26" s="49" t="n">
        <x:v>21.2</x:v>
      </x:c>
      <x:c r="V26" s="42" t="n">
        <x:v>2024</x:v>
      </x:c>
      <x:c r="W26" s="28" t="str">
        <x:v>https://doi.org/10.1038/s41593-025-02097-9</x:v>
      </x:c>
      <x:c r="X26" s="28" t="str">
        <x:v>https://www.nature.com/neuro/journal-impact</x:v>
      </x:c>
      <x:c r="Y26" s="28" t="str">
        <x:v>https://europepmc.org/articles/PMC13149334</x:v>
      </x:c>
      <x:c r="Z26" s="28" t="str">
        <x:v>https://openalex.org/A5064588009</x:v>
      </x:c>
      <x:c r="AA26" s="28" t="str">
        <x:v>https://orcid.org/0000-0002-9559-1450</x:v>
      </x:c>
      <x:c r="AB26" s="28" t="str">
        <x:v>是</x:v>
      </x:c>
      <x:c r="AC26" s="34" t="str">
        <x:v>建议发送前再用机构官网确认</x:v>
      </x:c>
      <x:c r="AD26" s="37" t="str">
        <x:v>Institute of Molecular and Clinical Ophthalmology Basel</x:v>
      </x:c>
    </x:row>
    <x:row r="27">
      <x:c r="A27" s="41" t="n">
        <x:v>23</x:v>
      </x:c>
      <x:c r="B27" s="42" t="str">
        <x:f>IF(Q27&gt;=95,"A-优先联系",IF(Q27&gt;=85,"B-重点关注","C-补充候选"))</x:f>
        <x:v>A-优先联系</x:v>
      </x:c>
      <x:c r="C27" s="28" t="str">
        <x:v>Claudia Ghigna</x:v>
      </x:c>
      <x:c r="D27" s="28" t="str">
        <x:v>Italy</x:v>
      </x:c>
      <x:c r="E27" s="34" t="str">
        <x:v>University of Pavia</x:v>
      </x:c>
      <x:c r="F27" s="34" t="str">
        <x:v>claudia.ghigna@igm.cnr.it</x:v>
      </x:c>
      <x:c r="G27" s="46" t="str">
        <x:v>较高（近期论文通讯邮箱）</x:v>
      </x:c>
      <x:c r="H27" s="46" t="n">
        <x:v>2023</x:v>
      </x:c>
      <x:c r="I27" s="34" t="str">
        <x:v>Alternative splicing in cancer</x:v>
      </x:c>
      <x:c r="J27" s="34" t="str">
        <x:v>cancer</x:v>
      </x:c>
      <x:c r="K27" s="42" t="str">
        <x:v>高</x:v>
      </x:c>
      <x:c r="L27" s="52" t="n">
        <x:v>5</x:v>
      </x:c>
      <x:c r="M27" s="52" t="n">
        <x:v>5</x:v>
      </x:c>
      <x:c r="N27" s="52" t="n">
        <x:v>2</x:v>
      </x:c>
      <x:c r="O27" s="52" t="n">
        <x:v>2</x:v>
      </x:c>
      <x:c r="P27" s="52" t="n">
        <x:f>L27*7+M27*7+N27*10+O27*5</x:f>
        <x:v>100</x:v>
      </x:c>
      <x:c r="Q27" s="52" t="n">
        <x:f>MIN(100,P27+IF(D27="Germany",10,0))</x:f>
        <x:v>100</x:v>
      </x:c>
      <x:c r="R27" s="34" t="str">
        <x:v>A ligand-insensitive UNC5B splicing isoform regulates angiogenesis by promoting apoptosis</x:v>
      </x:c>
      <x:c r="S27" s="28" t="str">
        <x:v>Nature Communications</x:v>
      </x:c>
      <x:c r="T27" s="42" t="n">
        <x:v>2021</x:v>
      </x:c>
      <x:c r="U27" s="49" t="n">
        <x:v>18.1</x:v>
      </x:c>
      <x:c r="V27" s="42" t="n">
        <x:v>2025</x:v>
      </x:c>
      <x:c r="W27" s="28" t="str">
        <x:v>https://doi.org/10.1038/s41467-021-24998-6</x:v>
      </x:c>
      <x:c r="X27" s="28" t="str">
        <x:v>https://www.nature.com/ncomms/ncomms/journal-impact</x:v>
      </x:c>
      <x:c r="Y27" s="28" t="str">
        <x:v>https://europepmc.org/articles/PMC10178952</x:v>
      </x:c>
      <x:c r="Z27" s="28" t="str">
        <x:v>https://openalex.org/A5040275242</x:v>
      </x:c>
      <x:c r="AA27" s="28" t="str">
        <x:v>https://orcid.org/0000-0003-0362-783X</x:v>
      </x:c>
      <x:c r="AB27" s="28" t="str">
        <x:v>是</x:v>
      </x:c>
      <x:c r="AC27" s="34" t="str">
        <x:v>建议发送前再用机构官网确认</x:v>
      </x:c>
      <x:c r="AD27" s="37" t="str">
        <x:v>Istituto di Genetica Molecolare</x:v>
      </x:c>
    </x:row>
    <x:row r="28">
      <x:c r="A28" s="41" t="n">
        <x:v>24</x:v>
      </x:c>
      <x:c r="B28" s="42" t="str">
        <x:f>IF(Q28&gt;=95,"A-优先联系",IF(Q28&gt;=85,"B-重点关注","C-补充候选"))</x:f>
        <x:v>A-优先联系</x:v>
      </x:c>
      <x:c r="C28" s="28" t="str">
        <x:v>Claudia Kutter</x:v>
      </x:c>
      <x:c r="D28" s="28" t="str">
        <x:v>Sweden</x:v>
      </x:c>
      <x:c r="E28" s="34" t="str">
        <x:v>Karolinska Institutet</x:v>
      </x:c>
      <x:c r="F28" s="34" t="str">
        <x:v>claudia.kutter@ki.se</x:v>
      </x:c>
      <x:c r="G28" s="46" t="str">
        <x:v>较高（近期论文通讯邮箱）</x:v>
      </x:c>
      <x:c r="H28" s="46" t="n">
        <x:v>2026</x:v>
      </x:c>
      <x:c r="I28" s="34" t="str">
        <x:v>Long non-coding RNA and liver disease</x:v>
      </x:c>
      <x:c r="J28" s="34" t="str">
        <x:v>metabolic liver disease and cancer</x:v>
      </x:c>
      <x:c r="K28" s="42" t="str">
        <x:v>高</x:v>
      </x:c>
      <x:c r="L28" s="52" t="n">
        <x:v>5</x:v>
      </x:c>
      <x:c r="M28" s="52" t="n">
        <x:v>5</x:v>
      </x:c>
      <x:c r="N28" s="52" t="n">
        <x:v>2</x:v>
      </x:c>
      <x:c r="O28" s="52" t="n">
        <x:v>2</x:v>
      </x:c>
      <x:c r="P28" s="52" t="n">
        <x:f>L28*7+M28*7+N28*10+O28*5</x:f>
        <x:v>100</x:v>
      </x:c>
      <x:c r="Q28" s="52" t="n">
        <x:f>MIN(100,P28+IF(D28="Germany",10,0))</x:f>
        <x:v>100</x:v>
      </x:c>
      <x:c r="R28" s="34" t="str">
        <x:v>RAPseq enables large-scale identification of RBP–RNA interactions and reveals essentials of post-transcriptional gene regulation</x:v>
      </x:c>
      <x:c r="S28" s="28" t="str">
        <x:v>Nucleic Acids Research</x:v>
      </x:c>
      <x:c r="T28" s="42" t="n">
        <x:v>2026</x:v>
      </x:c>
      <x:c r="U28" s="49" t="n">
        <x:v>15</x:v>
      </x:c>
      <x:c r="V28" s="42" t="n">
        <x:v>2025</x:v>
      </x:c>
      <x:c r="W28" s="28" t="str">
        <x:v>https://doi.org/10.1093/nar/gkag090</x:v>
      </x:c>
      <x:c r="X28" s="28" t="str">
        <x:v>https://academic.oup.com/nar/pages/about</x:v>
      </x:c>
      <x:c r="Y28" s="28" t="str">
        <x:v>https://europepmc.org/articles/PMC12956339</x:v>
      </x:c>
      <x:c r="Z28" s="28" t="str">
        <x:v>https://openalex.org/A5041673210</x:v>
      </x:c>
      <x:c r="AA28" s="28" t="str">
        <x:v>https://orcid.org/0000-0002-8047-0058</x:v>
      </x:c>
      <x:c r="AB28" s="28" t="str">
        <x:v>是</x:v>
      </x:c>
      <x:c r="AC28" s="34" t="str">
        <x:v>建议发送前再用机构官网确认</x:v>
      </x:c>
      <x:c r="AD28" s="37" t="str">
        <x:v>Science for Life Laboratory</x:v>
      </x:c>
    </x:row>
    <x:row r="29">
      <x:c r="A29" s="41" t="n">
        <x:v>25</x:v>
      </x:c>
      <x:c r="B29" s="42" t="str">
        <x:f>IF(Q29&gt;=95,"A-优先联系",IF(Q29&gt;=85,"B-重点关注","C-补充候选"))</x:f>
        <x:v>A-优先联系</x:v>
      </x:c>
      <x:c r="C29" s="28" t="str">
        <x:v>Didier Auboeuf</x:v>
      </x:c>
      <x:c r="D29" s="28" t="str">
        <x:v>France</x:v>
      </x:c>
      <x:c r="E29" s="34" t="str">
        <x:v>Cancer Research Center of Lyon</x:v>
      </x:c>
      <x:c r="F29" s="34" t="str">
        <x:v>didier.auboeuf@inserm.fr</x:v>
      </x:c>
      <x:c r="G29" s="46" t="str">
        <x:v>较高（近期论文通讯邮箱）</x:v>
      </x:c>
      <x:c r="H29" s="46" t="n">
        <x:v>2024</x:v>
      </x:c>
      <x:c r="I29" s="34" t="str">
        <x:v>Alternative splicing and RNA regulation in cancer</x:v>
      </x:c>
      <x:c r="J29" s="34" t="str">
        <x:v>cancer</x:v>
      </x:c>
      <x:c r="K29" s="42" t="str">
        <x:v>高</x:v>
      </x:c>
      <x:c r="L29" s="52" t="n">
        <x:v>5</x:v>
      </x:c>
      <x:c r="M29" s="52" t="n">
        <x:v>5</x:v>
      </x:c>
      <x:c r="N29" s="52" t="n">
        <x:v>2</x:v>
      </x:c>
      <x:c r="O29" s="52" t="n">
        <x:v>2</x:v>
      </x:c>
      <x:c r="P29" s="52" t="n">
        <x:f>L29*7+M29*7+N29*10+O29*5</x:f>
        <x:v>100</x:v>
      </x:c>
      <x:c r="Q29" s="52" t="n">
        <x:f>MIN(100,P29+IF(D29="Germany",10,0))</x:f>
        <x:v>100</x:v>
      </x:c>
      <x:c r="R29" s="34" t="str">
        <x:v>Gene-to-gene coordinated regulation of transcription and alternative splicing by 3D chromatin remodeling upon NF-κB activation</x:v>
      </x:c>
      <x:c r="S29" s="28" t="str">
        <x:v>Nucleic Acids Research</x:v>
      </x:c>
      <x:c r="T29" s="42" t="n">
        <x:v>2024</x:v>
      </x:c>
      <x:c r="U29" s="49" t="n">
        <x:v>15</x:v>
      </x:c>
      <x:c r="V29" s="42" t="n">
        <x:v>2025</x:v>
      </x:c>
      <x:c r="W29" s="28" t="str">
        <x:v>https://doi.org/10.1093/nar/gkae015</x:v>
      </x:c>
      <x:c r="X29" s="28" t="str">
        <x:v>https://academic.oup.com/nar/pages/about</x:v>
      </x:c>
      <x:c r="Y29" s="28" t="str">
        <x:v>https://europepmc.org/articles/PMC11059277</x:v>
      </x:c>
      <x:c r="Z29" s="28" t="str">
        <x:v>https://openalex.org/A5084800206</x:v>
      </x:c>
      <x:c r="AA29" s="28" t="str">
        <x:v>https://orcid.org/0000-0002-3757-0002</x:v>
      </x:c>
      <x:c r="AB29" s="28" t="str">
        <x:v>是</x:v>
      </x:c>
      <x:c r="AC29" s="34" t="str">
        <x:v>建议发送前再用机构官网确认</x:v>
      </x:c>
      <x:c r="AD29" s="37" t="str">
        <x:v>Université Claude Bernard Lyon 1 | École Normale Supérieure de Lyon | Centre National de la Recherche Scientifique | Inserm</x:v>
      </x:c>
    </x:row>
    <x:row r="30">
      <x:c r="A30" s="41" t="n">
        <x:v>26</x:v>
      </x:c>
      <x:c r="B30" s="42" t="str">
        <x:f>IF(Q30&gt;=95,"A-优先联系",IF(Q30&gt;=85,"B-重点关注","C-补充候选"))</x:f>
        <x:v>A-优先联系</x:v>
      </x:c>
      <x:c r="C30" s="28" t="str">
        <x:v>Diether Lambrechts</x:v>
      </x:c>
      <x:c r="D30" s="28" t="str">
        <x:v>Belgium</x:v>
      </x:c>
      <x:c r="E30" s="34" t="str">
        <x:v>VIB-KU Leuven Center for Cancer Biology</x:v>
      </x:c>
      <x:c r="F30" s="34" t="str">
        <x:v>Diether.Lambrechts@kuleuven.be</x:v>
      </x:c>
      <x:c r="G30" s="46" t="str">
        <x:v>较高（近期论文通讯邮箱）</x:v>
      </x:c>
      <x:c r="H30" s="46" t="n">
        <x:v>2025</x:v>
      </x:c>
      <x:c r="I30" s="34" t="str">
        <x:v>Single-cell and spatial transcriptomics in cancer</x:v>
      </x:c>
      <x:c r="J30" s="34" t="str">
        <x:v>precision oncology</x:v>
      </x:c>
      <x:c r="K30" s="42" t="str">
        <x:v>高</x:v>
      </x:c>
      <x:c r="L30" s="52" t="n">
        <x:v>5</x:v>
      </x:c>
      <x:c r="M30" s="52" t="n">
        <x:v>5</x:v>
      </x:c>
      <x:c r="N30" s="52" t="n">
        <x:v>2</x:v>
      </x:c>
      <x:c r="O30" s="52" t="n">
        <x:v>2</x:v>
      </x:c>
      <x:c r="P30" s="52" t="n">
        <x:f>L30*7+M30*7+N30*10+O30*5</x:f>
        <x:v>100</x:v>
      </x:c>
      <x:c r="Q30" s="52" t="n">
        <x:f>MIN(100,P30+IF(D30="Germany",10,0))</x:f>
        <x:v>100</x:v>
      </x:c>
      <x:c r="R30" s="34" t="str">
        <x:v>A spatial architecture-embedding HLA signature to predict clinical response to immunotherapy in renal cell carcinoma</x:v>
      </x:c>
      <x:c r="S30" s="28" t="str">
        <x:v>Nature Medicine</x:v>
      </x:c>
      <x:c r="T30" s="42" t="n">
        <x:v>2024</x:v>
      </x:c>
      <x:c r="U30" s="49" t="n">
        <x:v>50</x:v>
      </x:c>
      <x:c r="V30" s="42" t="n">
        <x:v>2024</x:v>
      </x:c>
      <x:c r="W30" s="28" t="str">
        <x:v>https://doi.org/10.1038/s41591-024-02978-9</x:v>
      </x:c>
      <x:c r="X30" s="28" t="str">
        <x:v>https://www.nature.com/nm/journal-impact</x:v>
      </x:c>
      <x:c r="Y30" s="28" t="str">
        <x:v>https://europepmc.org/articles/PMC12631129</x:v>
      </x:c>
      <x:c r="Z30" s="28" t="str">
        <x:v>https://openalex.org/A5078760536</x:v>
      </x:c>
      <x:c r="AA30" s="28" t="str">
        <x:v>https://orcid.org/0000-0002-3429-302X</x:v>
      </x:c>
      <x:c r="AB30" s="28" t="str">
        <x:v>是</x:v>
      </x:c>
      <x:c r="AC30" s="34" t="str">
        <x:v>建议发送前再用机构官网确认</x:v>
      </x:c>
      <x:c r="AD30" s="37" t="str">
        <x:v>VIB-KU Leuven Center for Cancer Biology | Center for Human Genetics</x:v>
      </x:c>
    </x:row>
    <x:row r="31">
      <x:c r="A31" s="41" t="n">
        <x:v>27</x:v>
      </x:c>
      <x:c r="B31" s="42" t="str">
        <x:f>IF(Q31&gt;=95,"A-优先联系",IF(Q31&gt;=85,"B-重点关注","C-补充候选"))</x:f>
        <x:v>A-优先联系</x:v>
      </x:c>
      <x:c r="C31" s="28" t="str">
        <x:v>Eivind Hovig</x:v>
      </x:c>
      <x:c r="D31" s="28" t="str">
        <x:v>Norway</x:v>
      </x:c>
      <x:c r="E31" s="34" t="str">
        <x:v>Oslo University Hospital / University of Oslo</x:v>
      </x:c>
      <x:c r="F31" s="34" t="str">
        <x:v>ehovig@ifi.uio.no</x:v>
      </x:c>
      <x:c r="G31" s="46" t="str">
        <x:v>较高（近期论文通讯邮箱）</x:v>
      </x:c>
      <x:c r="H31" s="46" t="n">
        <x:v>2026</x:v>
      </x:c>
      <x:c r="I31" s="34" t="str">
        <x:v>Cancer genomics and transcriptomics</x:v>
      </x:c>
      <x:c r="J31" s="34" t="str">
        <x:v>precision oncology</x:v>
      </x:c>
      <x:c r="K31" s="42" t="str">
        <x:v>高</x:v>
      </x:c>
      <x:c r="L31" s="52" t="n">
        <x:v>5</x:v>
      </x:c>
      <x:c r="M31" s="52" t="n">
        <x:v>5</x:v>
      </x:c>
      <x:c r="N31" s="52" t="n">
        <x:v>2</x:v>
      </x:c>
      <x:c r="O31" s="52" t="n">
        <x:v>2</x:v>
      </x:c>
      <x:c r="P31" s="52" t="n">
        <x:f>L31*7+M31*7+N31*10+O31*5</x:f>
        <x:v>100</x:v>
      </x:c>
      <x:c r="Q31" s="52" t="n">
        <x:f>MIN(100,P31+IF(D31="Germany",10,0))</x:f>
        <x:v>100</x:v>
      </x:c>
      <x:c r="R31" s="34" t="str">
        <x:v>JASPAR 2026: expansion of transcription factor binding profiles and integration of deep learning models</x:v>
      </x:c>
      <x:c r="S31" s="28" t="str">
        <x:v>Nucleic Acids Research</x:v>
      </x:c>
      <x:c r="T31" s="42" t="n">
        <x:v>2025</x:v>
      </x:c>
      <x:c r="U31" s="49" t="n">
        <x:v>15</x:v>
      </x:c>
      <x:c r="V31" s="42" t="n">
        <x:v>2025</x:v>
      </x:c>
      <x:c r="W31" s="28" t="str">
        <x:v>https://doi.org/10.1093/nar/gkaf1209</x:v>
      </x:c>
      <x:c r="X31" s="28" t="str">
        <x:v>https://academic.oup.com/nar/pages/about</x:v>
      </x:c>
      <x:c r="Y31" s="28" t="str">
        <x:v>https://europepmc.org/articles/PMC12946775</x:v>
      </x:c>
      <x:c r="Z31" s="28" t="str">
        <x:v>https://openalex.org/A5083493986</x:v>
      </x:c>
      <x:c r="AA31" s="28" t="str">
        <x:v>https://orcid.org/0000-0002-9103-1077</x:v>
      </x:c>
      <x:c r="AB31" s="28" t="str">
        <x:v>是</x:v>
      </x:c>
      <x:c r="AC31" s="34" t="str">
        <x:v>建议发送前再用机构官网确认</x:v>
      </x:c>
      <x:c r="AD31" s="37" t="str">
        <x:v>Oslo University Hospital | University of Coimbra</x:v>
      </x:c>
    </x:row>
    <x:row r="32">
      <x:c r="A32" s="41" t="n">
        <x:v>28</x:v>
      </x:c>
      <x:c r="B32" s="42" t="str">
        <x:f>IF(Q32&gt;=95,"A-优先联系",IF(Q32&gt;=85,"B-重点关注","C-补充候选"))</x:f>
        <x:v>A-优先联系</x:v>
      </x:c>
      <x:c r="C32" s="28" t="str">
        <x:v>Emmanuel Barillot</x:v>
      </x:c>
      <x:c r="D32" s="28" t="str">
        <x:v>France</x:v>
      </x:c>
      <x:c r="E32" s="34" t="str">
        <x:v>Institut Curie</x:v>
      </x:c>
      <x:c r="F32" s="34" t="str">
        <x:v>emmanuel.barillot@curie.fr</x:v>
      </x:c>
      <x:c r="G32" s="46" t="str">
        <x:v>较高（近期论文通讯邮箱）</x:v>
      </x:c>
      <x:c r="H32" s="46" t="n">
        <x:v>2026</x:v>
      </x:c>
      <x:c r="I32" s="34" t="str">
        <x:v>Cancer systems biology and transcriptomics</x:v>
      </x:c>
      <x:c r="J32" s="34" t="str">
        <x:v>precision oncology</x:v>
      </x:c>
      <x:c r="K32" s="42" t="str">
        <x:v>高</x:v>
      </x:c>
      <x:c r="L32" s="52" t="n">
        <x:v>5</x:v>
      </x:c>
      <x:c r="M32" s="52" t="n">
        <x:v>5</x:v>
      </x:c>
      <x:c r="N32" s="52" t="n">
        <x:v>2</x:v>
      </x:c>
      <x:c r="O32" s="52" t="n">
        <x:v>2</x:v>
      </x:c>
      <x:c r="P32" s="52" t="n">
        <x:f>L32*7+M32*7+N32*10+O32*5</x:f>
        <x:v>100</x:v>
      </x:c>
      <x:c r="Q32" s="52" t="n">
        <x:f>MIN(100,P32+IF(D32="Germany",10,0))</x:f>
        <x:v>100</x:v>
      </x:c>
      <x:c r="R32" s="34" t="str">
        <x:v>sCellST predicts single-cell gene expression from H&amp;amp; E images</x:v>
      </x:c>
      <x:c r="S32" s="28" t="str">
        <x:v>Nature Communications</x:v>
      </x:c>
      <x:c r="T32" s="42" t="n">
        <x:v>2026</x:v>
      </x:c>
      <x:c r="U32" s="49" t="n">
        <x:v>18.1</x:v>
      </x:c>
      <x:c r="V32" s="42" t="n">
        <x:v>2025</x:v>
      </x:c>
      <x:c r="W32" s="28" t="str">
        <x:v>https://doi.org/10.1038/s41467-025-67965-1</x:v>
      </x:c>
      <x:c r="X32" s="28" t="str">
        <x:v>https://www.nature.com/ncomms/ncomms/journal-impact</x:v>
      </x:c>
      <x:c r="Y32" s="28" t="str">
        <x:v>https://europepmc.org/articles/PMC12858858</x:v>
      </x:c>
      <x:c r="Z32" s="28" t="str">
        <x:v>https://openalex.org/A5062067186</x:v>
      </x:c>
      <x:c r="AA32" s="28" t="str">
        <x:v>https://orcid.org/0000-0003-2724-2002</x:v>
      </x:c>
      <x:c r="AB32" s="28" t="str">
        <x:v>是</x:v>
      </x:c>
      <x:c r="AC32" s="34" t="str">
        <x:v>建议发送前再用机构官网确认</x:v>
      </x:c>
      <x:c r="AD32" s="37" t="str">
        <x:v>Inserm | Université Paris Sciences et Lettres | Centre Jean Perrin | École Nationale Supérieure des Mines de Paris | Institut Curie</x:v>
      </x:c>
    </x:row>
    <x:row r="33">
      <x:c r="A33" s="41" t="n">
        <x:v>29</x:v>
      </x:c>
      <x:c r="B33" s="42" t="str">
        <x:f>IF(Q33&gt;=95,"A-优先联系",IF(Q33&gt;=85,"B-重点关注","C-补充候选"))</x:f>
        <x:v>A-优先联系</x:v>
      </x:c>
      <x:c r="C33" s="28" t="str">
        <x:v>Eva van Rooij</x:v>
      </x:c>
      <x:c r="D33" s="28" t="str">
        <x:v>Netherlands</x:v>
      </x:c>
      <x:c r="E33" s="34" t="str">
        <x:v>Hubrecht Institute / UMC Utrecht</x:v>
      </x:c>
      <x:c r="F33" s="34" t="str">
        <x:v>e.vanrooij@hubrecht.eu</x:v>
      </x:c>
      <x:c r="G33" s="46" t="str">
        <x:v>较高（近期论文通讯邮箱）</x:v>
      </x:c>
      <x:c r="H33" s="46" t="n">
        <x:v>2026</x:v>
      </x:c>
      <x:c r="I33" s="34" t="str">
        <x:v>Non-coding RNA and RNA therapeutics</x:v>
      </x:c>
      <x:c r="J33" s="34" t="str">
        <x:v>cardiovascular disease</x:v>
      </x:c>
      <x:c r="K33" s="42" t="str">
        <x:v>高</x:v>
      </x:c>
      <x:c r="L33" s="52" t="n">
        <x:v>5</x:v>
      </x:c>
      <x:c r="M33" s="52" t="n">
        <x:v>5</x:v>
      </x:c>
      <x:c r="N33" s="52" t="n">
        <x:v>2</x:v>
      </x:c>
      <x:c r="O33" s="52" t="n">
        <x:v>2</x:v>
      </x:c>
      <x:c r="P33" s="52" t="n">
        <x:f>L33*7+M33*7+N33*10+O33*5</x:f>
        <x:v>100</x:v>
      </x:c>
      <x:c r="Q33" s="52" t="n">
        <x:f>MIN(100,P33+IF(D33="Germany",10,0))</x:f>
        <x:v>100</x:v>
      </x:c>
      <x:c r="R33" s="34" t="str">
        <x:v>Single-cell transcriptomics provides insights into hypertrophic cardiomyopathy</x:v>
      </x:c>
      <x:c r="S33" s="28" t="str">
        <x:v>Cell Reports</x:v>
      </x:c>
      <x:c r="T33" s="42" t="n">
        <x:v>2022</x:v>
      </x:c>
      <x:c r="U33" s="49" t="n">
        <x:v>7.5</x:v>
      </x:c>
      <x:c r="V33" s="42" t="n">
        <x:v>2024</x:v>
      </x:c>
      <x:c r="W33" s="28" t="str">
        <x:v>https://doi.org/10.1016/j.celrep.2022.110809</x:v>
      </x:c>
      <x:c r="X33" s="28" t="str">
        <x:v>https://www.cell.com/cell-reports/home</x:v>
      </x:c>
      <x:c r="Y33" s="28" t="str">
        <x:v>https://europepmc.org/articles/PMC13196863</x:v>
      </x:c>
      <x:c r="Z33" s="28" t="str">
        <x:v>https://openalex.org/A5061534140</x:v>
      </x:c>
      <x:c r="AA33" s="28" t="str"/>
      <x:c r="AB33" s="28" t="str">
        <x:v>是</x:v>
      </x:c>
      <x:c r="AC33" s="34" t="str">
        <x:v>建议发送前再用机构官网确认</x:v>
      </x:c>
      <x:c r="AD33" s="37" t="str">
        <x:v>Royal Netherlands Academy of Arts and Sciences | Heidelberg University | University Hospital Heidelberg | University Medical Center Utrecht | Netherlands Heart Institute | Hubrecht Institute for Developmental Biology and Stem Cell Research</x:v>
      </x:c>
    </x:row>
    <x:row r="34">
      <x:c r="A34" s="41" t="n">
        <x:v>30</x:v>
      </x:c>
      <x:c r="B34" s="42" t="str">
        <x:f>IF(Q34&gt;=95,"A-优先联系",IF(Q34&gt;=85,"B-重点关注","C-补充候选"))</x:f>
        <x:v>A-优先联系</x:v>
      </x:c>
      <x:c r="C34" s="28" t="str">
        <x:v>Fatima Gebauer</x:v>
      </x:c>
      <x:c r="D34" s="28" t="str">
        <x:v>Spain</x:v>
      </x:c>
      <x:c r="E34" s="34" t="str">
        <x:v>Centre for Genomic Regulation</x:v>
      </x:c>
      <x:c r="F34" s="34" t="str">
        <x:v>fatima.gebauer@crg.eu</x:v>
      </x:c>
      <x:c r="G34" s="46" t="str">
        <x:v>较高（近期论文通讯邮箱）</x:v>
      </x:c>
      <x:c r="H34" s="46" t="n">
        <x:v>2025</x:v>
      </x:c>
      <x:c r="I34" s="34" t="str">
        <x:v>Translational control and RNA-binding proteins</x:v>
      </x:c>
      <x:c r="J34" s="34" t="str">
        <x:v>cancer</x:v>
      </x:c>
      <x:c r="K34" s="42" t="str">
        <x:v>高</x:v>
      </x:c>
      <x:c r="L34" s="52" t="n">
        <x:v>5</x:v>
      </x:c>
      <x:c r="M34" s="52" t="n">
        <x:v>5</x:v>
      </x:c>
      <x:c r="N34" s="52" t="n">
        <x:v>2</x:v>
      </x:c>
      <x:c r="O34" s="52" t="n">
        <x:v>2</x:v>
      </x:c>
      <x:c r="P34" s="52" t="n">
        <x:f>L34*7+M34*7+N34*10+O34*5</x:f>
        <x:v>100</x:v>
      </x:c>
      <x:c r="Q34" s="52" t="n">
        <x:f>MIN(100,P34+IF(D34="Germany",10,0))</x:f>
        <x:v>100</x:v>
      </x:c>
      <x:c r="R34" s="34" t="str">
        <x:v>Rethinking RNA-binding proteins: Riboregulation challenges prevailing views</x:v>
      </x:c>
      <x:c r="S34" s="28" t="str">
        <x:v>Cell</x:v>
      </x:c>
      <x:c r="T34" s="42" t="n">
        <x:v>2025</x:v>
      </x:c>
      <x:c r="U34" s="49" t="n">
        <x:v>42.5</x:v>
      </x:c>
      <x:c r="V34" s="42" t="n">
        <x:v>2024</x:v>
      </x:c>
      <x:c r="W34" s="28" t="str">
        <x:v>https://doi.org/10.1016/j.cell.2025.06.021</x:v>
      </x:c>
      <x:c r="X34" s="28" t="str">
        <x:v>https://www.cell.com/cell/home</x:v>
      </x:c>
      <x:c r="Y34" s="28" t="str">
        <x:v>https://europepmc.org/articles/PMC12530126</x:v>
      </x:c>
      <x:c r="Z34" s="28" t="str">
        <x:v>https://openalex.org/A5056718473</x:v>
      </x:c>
      <x:c r="AA34" s="28" t="str">
        <x:v>https://orcid.org/0000-0001-7563-0013</x:v>
      </x:c>
      <x:c r="AB34" s="28" t="str">
        <x:v>是</x:v>
      </x:c>
      <x:c r="AC34" s="34" t="str">
        <x:v>建议发送前再用机构官网确认</x:v>
      </x:c>
      <x:c r="AD34" s="37" t="str">
        <x:v>Universitat Pompeu Fabra | Barcelona Institute of Science and Technology | Centre for Genomic Regulation</x:v>
      </x:c>
    </x:row>
    <x:row r="35">
      <x:c r="A35" s="41" t="n">
        <x:v>31</x:v>
      </x:c>
      <x:c r="B35" s="42" t="str">
        <x:f>IF(Q35&gt;=95,"A-优先联系",IF(Q35&gt;=85,"B-重点关注","C-补充候选"))</x:f>
        <x:v>A-优先联系</x:v>
      </x:c>
      <x:c r="C35" s="28" t="str">
        <x:v>Francesca Bosisio</x:v>
      </x:c>
      <x:c r="D35" s="28" t="str">
        <x:v>Belgium</x:v>
      </x:c>
      <x:c r="E35" s="34" t="str">
        <x:v>KU Leuven</x:v>
      </x:c>
      <x:c r="F35" s="34" t="str">
        <x:v>francesca.bosisio@uzleuven.be</x:v>
      </x:c>
      <x:c r="G35" s="46" t="str">
        <x:v>较高（近期论文通讯邮箱）</x:v>
      </x:c>
      <x:c r="H35" s="46" t="n">
        <x:v>2022</x:v>
      </x:c>
      <x:c r="I35" s="34" t="str">
        <x:v>Spatial transcriptomics and digital pathology</x:v>
      </x:c>
      <x:c r="J35" s="34" t="str">
        <x:v>melanoma and immuno-oncology</x:v>
      </x:c>
      <x:c r="K35" s="42" t="str">
        <x:v>高</x:v>
      </x:c>
      <x:c r="L35" s="52" t="n">
        <x:v>5</x:v>
      </x:c>
      <x:c r="M35" s="52" t="n">
        <x:v>5</x:v>
      </x:c>
      <x:c r="N35" s="52" t="n">
        <x:v>2</x:v>
      </x:c>
      <x:c r="O35" s="52" t="n">
        <x:v>2</x:v>
      </x:c>
      <x:c r="P35" s="52" t="n">
        <x:f>L35*7+M35*7+N35*10+O35*5</x:f>
        <x:v>100</x:v>
      </x:c>
      <x:c r="Q35" s="52" t="n">
        <x:f>MIN(100,P35+IF(D35="Germany",10,0))</x:f>
        <x:v>100</x:v>
      </x:c>
      <x:c r="R35" s="34" t="str">
        <x:v>Integrated multi-omics identifies distinct macrophage alterations during progression of metabolic dysfunction-associated steatohepatitis</x:v>
      </x:c>
      <x:c r="S35" s="28" t="str">
        <x:v>Nature Genetics</x:v>
      </x:c>
      <x:c r="T35" s="42" t="n">
        <x:v>2026</x:v>
      </x:c>
      <x:c r="U35" s="49" t="n">
        <x:v>29</x:v>
      </x:c>
      <x:c r="V35" s="42" t="n">
        <x:v>2024</x:v>
      </x:c>
      <x:c r="W35" s="28" t="str">
        <x:v>https://doi.org/10.1038/s41588-026-02600-3</x:v>
      </x:c>
      <x:c r="X35" s="28" t="str">
        <x:v>https://www.nature.com/ng/journal-impact</x:v>
      </x:c>
      <x:c r="Y35" s="28" t="str">
        <x:v>https://europepmc.org/articles/PMC9478533</x:v>
      </x:c>
      <x:c r="Z35" s="28" t="str">
        <x:v>https://openalex.org/A5041319050</x:v>
      </x:c>
      <x:c r="AA35" s="28" t="str">
        <x:v>https://orcid.org/0000-0002-4059-139X</x:v>
      </x:c>
      <x:c r="AB35" s="28" t="str">
        <x:v>是</x:v>
      </x:c>
      <x:c r="AC35" s="34" t="str">
        <x:v>代表作标题未直接出现RNA关键词，但研究方向属于RNA范围；建议发送前再用机构官网确认</x:v>
      </x:c>
      <x:c r="AD35" s="37" t="str">
        <x:v>HES-SO Vaud | KU Leuven</x:v>
      </x:c>
    </x:row>
    <x:row r="36">
      <x:c r="A36" s="41" t="n">
        <x:v>32</x:v>
      </x:c>
      <x:c r="B36" s="42" t="str">
        <x:f>IF(Q36&gt;=95,"A-优先联系",IF(Q36&gt;=85,"B-重点关注","C-补充候选"))</x:f>
        <x:v>A-优先联系</x:v>
      </x:c>
      <x:c r="C36" s="28" t="str">
        <x:v>Francesco Nicassio</x:v>
      </x:c>
      <x:c r="D36" s="28" t="str">
        <x:v>Italy</x:v>
      </x:c>
      <x:c r="E36" s="34" t="str">
        <x:v>Italian Institute of Technology</x:v>
      </x:c>
      <x:c r="F36" s="34" t="str">
        <x:v>francesco.nicassio@unisalento.it</x:v>
      </x:c>
      <x:c r="G36" s="46" t="str">
        <x:v>较高（近期论文通讯邮箱）</x:v>
      </x:c>
      <x:c r="H36" s="46" t="n">
        <x:v>2025</x:v>
      </x:c>
      <x:c r="I36" s="34" t="str">
        <x:v>RNA regulatory networks and non-coding RNA</x:v>
      </x:c>
      <x:c r="J36" s="34" t="str">
        <x:v>cancer and inflammation</x:v>
      </x:c>
      <x:c r="K36" s="42" t="str">
        <x:v>高</x:v>
      </x:c>
      <x:c r="L36" s="52" t="n">
        <x:v>5</x:v>
      </x:c>
      <x:c r="M36" s="52" t="n">
        <x:v>5</x:v>
      </x:c>
      <x:c r="N36" s="52" t="n">
        <x:v>2</x:v>
      </x:c>
      <x:c r="O36" s="52" t="n">
        <x:v>2</x:v>
      </x:c>
      <x:c r="P36" s="52" t="n">
        <x:f>L36*7+M36*7+N36*10+O36*5</x:f>
        <x:v>100</x:v>
      </x:c>
      <x:c r="Q36" s="52" t="n">
        <x:f>MIN(100,P36+IF(D36="Germany",10,0))</x:f>
        <x:v>100</x:v>
      </x:c>
      <x:c r="R36" s="34" t="str">
        <x:v>Increased RNA and Protein Degradation Is Required for Counteracting Transcriptional Burden and Proteotoxic Stress in Human Aneuploid Cells</x:v>
      </x:c>
      <x:c r="S36" s="28" t="str">
        <x:v>Cancer Discovery</x:v>
      </x:c>
      <x:c r="T36" s="42" t="n">
        <x:v>2024</x:v>
      </x:c>
      <x:c r="U36" s="49" t="n">
        <x:v>29.7</x:v>
      </x:c>
      <x:c r="V36" s="42" t="n">
        <x:v>2024</x:v>
      </x:c>
      <x:c r="W36" s="28" t="str">
        <x:v>https://doi.org/10.1158/2159-8290.cd-23-0309</x:v>
      </x:c>
      <x:c r="X36" s="28" t="str">
        <x:v>https://aacrjournals.org/cancerdiscovery/pages/about</x:v>
      </x:c>
      <x:c r="Y36" s="28" t="str">
        <x:v>https://europepmc.org/articles/PMC12526691</x:v>
      </x:c>
      <x:c r="Z36" s="28" t="str">
        <x:v>https://openalex.org/A5060590200</x:v>
      </x:c>
      <x:c r="AA36" s="28" t="str">
        <x:v>https://orcid.org/0000-0002-5954-5318</x:v>
      </x:c>
      <x:c r="AB36" s="28" t="str">
        <x:v>是</x:v>
      </x:c>
      <x:c r="AC36" s="34" t="str">
        <x:v>建议发送前再用机构官网确认</x:v>
      </x:c>
      <x:c r="AD36" s="37" t="str">
        <x:v>Italian Institute of Technology | Center for Genomic Science</x:v>
      </x:c>
    </x:row>
    <x:row r="37">
      <x:c r="A37" s="41" t="n">
        <x:v>33</x:v>
      </x:c>
      <x:c r="B37" s="42" t="str">
        <x:f>IF(Q37&gt;=95,"A-优先联系",IF(Q37&gt;=85,"B-重点关注","C-补充候选"))</x:f>
        <x:v>A-优先联系</x:v>
      </x:c>
      <x:c r="C37" s="28" t="str">
        <x:v>Goncalo Castelo-Branco</x:v>
      </x:c>
      <x:c r="D37" s="28" t="str">
        <x:v>Sweden</x:v>
      </x:c>
      <x:c r="E37" s="34" t="str">
        <x:v>Karolinska Institutet</x:v>
      </x:c>
      <x:c r="F37" s="34" t="str">
        <x:v>goncalo.castelo-branco@ki.se</x:v>
      </x:c>
      <x:c r="G37" s="46" t="str">
        <x:v>较高（近期论文通讯邮箱）</x:v>
      </x:c>
      <x:c r="H37" s="46" t="n">
        <x:v>2026</x:v>
      </x:c>
      <x:c r="I37" s="34" t="str">
        <x:v>Single-cell RNA and epigenomics of glia</x:v>
      </x:c>
      <x:c r="J37" s="34" t="str">
        <x:v>multiple sclerosis</x:v>
      </x:c>
      <x:c r="K37" s="42" t="str">
        <x:v>高</x:v>
      </x:c>
      <x:c r="L37" s="52" t="n">
        <x:v>5</x:v>
      </x:c>
      <x:c r="M37" s="52" t="n">
        <x:v>5</x:v>
      </x:c>
      <x:c r="N37" s="52" t="n">
        <x:v>2</x:v>
      </x:c>
      <x:c r="O37" s="52" t="n">
        <x:v>2</x:v>
      </x:c>
      <x:c r="P37" s="52" t="n">
        <x:f>L37*7+M37*7+N37*10+O37*5</x:f>
        <x:v>100</x:v>
      </x:c>
      <x:c r="Q37" s="52" t="n">
        <x:f>MIN(100,P37+IF(D37="Germany",10,0))</x:f>
        <x:v>100</x:v>
      </x:c>
      <x:c r="R37" s="34" t="str">
        <x:v>Anoctamin-2-specific T cells link Epstein-Barr virus to multiple sclerosis</x:v>
      </x:c>
      <x:c r="S37" s="28" t="str">
        <x:v>Cell</x:v>
      </x:c>
      <x:c r="T37" s="42" t="n">
        <x:v>2026</x:v>
      </x:c>
      <x:c r="U37" s="49" t="n">
        <x:v>42.5</x:v>
      </x:c>
      <x:c r="V37" s="42" t="n">
        <x:v>2024</x:v>
      </x:c>
      <x:c r="W37" s="28" t="str">
        <x:v>https://doi.org/10.1016/j.cell.2025.12.032</x:v>
      </x:c>
      <x:c r="X37" s="28" t="str">
        <x:v>https://www.cell.com/cell/home</x:v>
      </x:c>
      <x:c r="Y37" s="28" t="str">
        <x:v>https://europepmc.org/articles/PMC13061605</x:v>
      </x:c>
      <x:c r="Z37" s="28" t="str">
        <x:v>https://openalex.org/A5042851935</x:v>
      </x:c>
      <x:c r="AA37" s="28" t="str">
        <x:v>https://orcid.org/0000-0003-2247-9393</x:v>
      </x:c>
      <x:c r="AB37" s="28" t="str">
        <x:v>是</x:v>
      </x:c>
      <x:c r="AC37" s="34" t="str">
        <x:v>建议发送前再用机构官网确认</x:v>
      </x:c>
      <x:c r="AD37" s="37" t="str">
        <x:v>Science for Life Laboratory | Karolinska Institutet</x:v>
      </x:c>
    </x:row>
    <x:row r="38">
      <x:c r="A38" s="41" t="n">
        <x:v>34</x:v>
      </x:c>
      <x:c r="B38" s="42" t="str">
        <x:f>IF(Q38&gt;=95,"A-优先联系",IF(Q38&gt;=85,"B-重点关注","C-补充候选"))</x:f>
        <x:v>A-优先联系</x:v>
      </x:c>
      <x:c r="C38" s="28" t="str">
        <x:v>Guillaume Hautbergue</x:v>
      </x:c>
      <x:c r="D38" s="28" t="str">
        <x:v>United Kingdom</x:v>
      </x:c>
      <x:c r="E38" s="34" t="str">
        <x:v>University of Sheffield</x:v>
      </x:c>
      <x:c r="F38" s="34" t="str">
        <x:v>g.hautbergue@sheffield.ac.uk</x:v>
      </x:c>
      <x:c r="G38" s="46" t="str">
        <x:v>较高（近期论文通讯邮箱）</x:v>
      </x:c>
      <x:c r="H38" s="46" t="n">
        <x:v>2022</x:v>
      </x:c>
      <x:c r="I38" s="34" t="str">
        <x:v>RNA transport and RNA-binding proteins</x:v>
      </x:c>
      <x:c r="J38" s="34" t="str">
        <x:v>ALS and neurodegeneration</x:v>
      </x:c>
      <x:c r="K38" s="42" t="str">
        <x:v>高</x:v>
      </x:c>
      <x:c r="L38" s="52" t="n">
        <x:v>5</x:v>
      </x:c>
      <x:c r="M38" s="52" t="n">
        <x:v>5</x:v>
      </x:c>
      <x:c r="N38" s="52" t="n">
        <x:v>2</x:v>
      </x:c>
      <x:c r="O38" s="52" t="n">
        <x:v>2</x:v>
      </x:c>
      <x:c r="P38" s="52" t="n">
        <x:f>L38*7+M38*7+N38*10+O38*5</x:f>
        <x:v>100</x:v>
      </x:c>
      <x:c r="Q38" s="52" t="n">
        <x:f>MIN(100,P38+IF(D38="Germany",10,0))</x:f>
        <x:v>100</x:v>
      </x:c>
      <x:c r="R38" s="34" t="str">
        <x:v>The master energy homeostasis regulator PGC-1α exhibits an mRNA nuclear export function</x:v>
      </x:c>
      <x:c r="S38" s="28" t="str">
        <x:v>Nature Communications</x:v>
      </x:c>
      <x:c r="T38" s="42" t="n">
        <x:v>2023</x:v>
      </x:c>
      <x:c r="U38" s="49" t="n">
        <x:v>18.1</x:v>
      </x:c>
      <x:c r="V38" s="42" t="n">
        <x:v>2025</x:v>
      </x:c>
      <x:c r="W38" s="28" t="str">
        <x:v>https://doi.org/10.1038/s41467-023-41304-8</x:v>
      </x:c>
      <x:c r="X38" s="28" t="str">
        <x:v>https://www.nature.com/ncomms/ncomms/journal-impact</x:v>
      </x:c>
      <x:c r="Y38" s="28" t="str">
        <x:v>https://europepmc.org/articles/PMC9133428</x:v>
      </x:c>
      <x:c r="Z38" s="28" t="str">
        <x:v>https://openalex.org/A5064049854</x:v>
      </x:c>
      <x:c r="AA38" s="28" t="str">
        <x:v>https://orcid.org/0000-0002-1621-261X</x:v>
      </x:c>
      <x:c r="AB38" s="28" t="str">
        <x:v>是</x:v>
      </x:c>
      <x:c r="AC38" s="34" t="str">
        <x:v>建议发送前再用机构官网确认</x:v>
      </x:c>
      <x:c r="AD38" s="37" t="str">
        <x:v>University of Sheffield</x:v>
      </x:c>
    </x:row>
    <x:row r="39">
      <x:c r="A39" s="41" t="n">
        <x:v>35</x:v>
      </x:c>
      <x:c r="B39" s="42" t="str">
        <x:f>IF(Q39&gt;=95,"A-优先联系",IF(Q39&gt;=85,"B-重点关注","C-补充候选"))</x:f>
        <x:v>A-优先联系</x:v>
      </x:c>
      <x:c r="C39" s="28" t="str">
        <x:v>Hector Peinado</x:v>
      </x:c>
      <x:c r="D39" s="28" t="str">
        <x:v>Spain</x:v>
      </x:c>
      <x:c r="E39" s="34" t="str">
        <x:v>Spanish National Cancer Research Centre</x:v>
      </x:c>
      <x:c r="F39" s="34" t="str">
        <x:v>hpeinado@cnio.es</x:v>
      </x:c>
      <x:c r="G39" s="46" t="str">
        <x:v>较高（近期论文通讯邮箱）</x:v>
      </x:c>
      <x:c r="H39" s="46" t="n">
        <x:v>2024</x:v>
      </x:c>
      <x:c r="I39" s="34" t="str">
        <x:v>Extracellular vesicles and RNA-mediated metastasis</x:v>
      </x:c>
      <x:c r="J39" s="34" t="str">
        <x:v>cancer metastasis and liquid biopsy</x:v>
      </x:c>
      <x:c r="K39" s="42" t="str">
        <x:v>高</x:v>
      </x:c>
      <x:c r="L39" s="52" t="n">
        <x:v>5</x:v>
      </x:c>
      <x:c r="M39" s="52" t="n">
        <x:v>5</x:v>
      </x:c>
      <x:c r="N39" s="52" t="n">
        <x:v>2</x:v>
      </x:c>
      <x:c r="O39" s="52" t="n">
        <x:v>2</x:v>
      </x:c>
      <x:c r="P39" s="52" t="n">
        <x:f>L39*7+M39*7+N39*10+O39*5</x:f>
        <x:v>100</x:v>
      </x:c>
      <x:c r="Q39" s="52" t="n">
        <x:f>MIN(100,P39+IF(D39="Germany",10,0))</x:f>
        <x:v>100</x:v>
      </x:c>
      <x:c r="R39" s="34" t="str">
        <x:v>Defining the reference proteomes for small extracellular vesicles and non-vesicular components</x:v>
      </x:c>
      <x:c r="S39" s="28" t="str">
        <x:v>Nature Cell Biology</x:v>
      </x:c>
      <x:c r="T39" s="42" t="n">
        <x:v>2026</x:v>
      </x:c>
      <x:c r="U39" s="49" t="n">
        <x:v>17.3</x:v>
      </x:c>
      <x:c r="V39" s="42" t="n">
        <x:v>2024</x:v>
      </x:c>
      <x:c r="W39" s="28" t="str">
        <x:v>https://doi.org/10.1038/s41556-026-01878-z</x:v>
      </x:c>
      <x:c r="X39" s="28" t="str">
        <x:v>https://www.nature.com/ncb/journal-impact</x:v>
      </x:c>
      <x:c r="Y39" s="28" t="str">
        <x:v>https://europepmc.org/articles/PMC11093605</x:v>
      </x:c>
      <x:c r="Z39" s="28" t="str">
        <x:v>https://openalex.org/A5032645016</x:v>
      </x:c>
      <x:c r="AA39" s="28" t="str">
        <x:v>https://orcid.org/0000-0002-4256-3413</x:v>
      </x:c>
      <x:c r="AB39" s="28" t="str">
        <x:v>是</x:v>
      </x:c>
      <x:c r="AC39" s="34" t="str">
        <x:v>建议发送前再用机构官网确认</x:v>
      </x:c>
      <x:c r="AD39" s="37" t="str">
        <x:v>Universitat Pompeu Fabra | Spanish National Cancer Research Centre | Centro Nacional de Biotecnología | Centro Nacional de Microelectrónica | Centro de Investigación Biomédica en Red de Cáncer</x:v>
      </x:c>
    </x:row>
    <x:row r="40">
      <x:c r="A40" s="41" t="n">
        <x:v>36</x:v>
      </x:c>
      <x:c r="B40" s="42" t="str">
        <x:f>IF(Q40&gt;=95,"A-优先联系",IF(Q40&gt;=85,"B-重点关注","C-补充候选"))</x:f>
        <x:v>A-优先联系</x:v>
      </x:c>
      <x:c r="C40" s="28" t="str">
        <x:v>Herve Le Hir</x:v>
      </x:c>
      <x:c r="D40" s="28" t="str">
        <x:v>France</x:v>
      </x:c>
      <x:c r="E40" s="34" t="str">
        <x:v>Ecole Normale Superieure Paris</x:v>
      </x:c>
      <x:c r="F40" s="34" t="str">
        <x:v>lehir@bio.ens.psl.eu</x:v>
      </x:c>
      <x:c r="G40" s="46" t="str">
        <x:v>较高（近期论文通讯邮箱）</x:v>
      </x:c>
      <x:c r="H40" s="46" t="n">
        <x:v>2025</x:v>
      </x:c>
      <x:c r="I40" s="34" t="str">
        <x:v>mRNA splicing, exon-junction complex and genetic disease</x:v>
      </x:c>
      <x:c r="J40" s="34" t="str">
        <x:v>neuromuscular and rare disease</x:v>
      </x:c>
      <x:c r="K40" s="42" t="str">
        <x:v>高</x:v>
      </x:c>
      <x:c r="L40" s="52" t="n">
        <x:v>5</x:v>
      </x:c>
      <x:c r="M40" s="52" t="n">
        <x:v>5</x:v>
      </x:c>
      <x:c r="N40" s="52" t="n">
        <x:v>2</x:v>
      </x:c>
      <x:c r="O40" s="52" t="n">
        <x:v>2</x:v>
      </x:c>
      <x:c r="P40" s="52" t="n">
        <x:f>L40*7+M40*7+N40*10+O40*5</x:f>
        <x:v>100</x:v>
      </x:c>
      <x:c r="Q40" s="52" t="n">
        <x:f>MIN(100,P40+IF(D40="Germany",10,0))</x:f>
        <x:v>100</x:v>
      </x:c>
      <x:c r="R40" s="34" t="str">
        <x:v>Co-translational determination of quaternary structures in chaperone factories</x:v>
      </x:c>
      <x:c r="S40" s="28" t="str">
        <x:v>Nature Communications</x:v>
      </x:c>
      <x:c r="T40" s="42" t="n">
        <x:v>2026</x:v>
      </x:c>
      <x:c r="U40" s="49" t="n">
        <x:v>18.1</x:v>
      </x:c>
      <x:c r="V40" s="42" t="n">
        <x:v>2025</x:v>
      </x:c>
      <x:c r="W40" s="28" t="str">
        <x:v>https://doi.org/10.1038/s41467-026-68687-8</x:v>
      </x:c>
      <x:c r="X40" s="28" t="str">
        <x:v>https://www.nature.com/ncomms/ncomms/journal-impact</x:v>
      </x:c>
      <x:c r="Y40" s="28" t="str">
        <x:v>https://europepmc.org/articles/PMC12630143</x:v>
      </x:c>
      <x:c r="Z40" s="28" t="str">
        <x:v>https://openalex.org/A5073390072</x:v>
      </x:c>
      <x:c r="AA40" s="28" t="str">
        <x:v>https://orcid.org/0000-0001-7964-9221</x:v>
      </x:c>
      <x:c r="AB40" s="28" t="str">
        <x:v>是</x:v>
      </x:c>
      <x:c r="AC40" s="34" t="str">
        <x:v>建议发送前再用机构官网确认</x:v>
      </x:c>
      <x:c r="AD40" s="37" t="str">
        <x:v>Centre National de la Recherche Scientifique | Inserm | Université Paris Sciences et Lettres | École Normale Supérieure | Institut de Biologie de l'École Normale Supérieure</x:v>
      </x:c>
    </x:row>
    <x:row r="41">
      <x:c r="A41" s="41" t="n">
        <x:v>37</x:v>
      </x:c>
      <x:c r="B41" s="42" t="str">
        <x:f>IF(Q41&gt;=95,"A-优先联系",IF(Q41&gt;=85,"B-重点关注","C-补充候选"))</x:f>
        <x:v>A-优先联系</x:v>
      </x:c>
      <x:c r="C41" s="28" t="str">
        <x:v>Holger Heyn</x:v>
      </x:c>
      <x:c r="D41" s="28" t="str">
        <x:v>Spain</x:v>
      </x:c>
      <x:c r="E41" s="34" t="str">
        <x:v>CNAG</x:v>
      </x:c>
      <x:c r="F41" s="34" t="str">
        <x:v>holger.heyn@cnag.eu</x:v>
      </x:c>
      <x:c r="G41" s="46" t="str">
        <x:v>较高（近期论文通讯邮箱）</x:v>
      </x:c>
      <x:c r="H41" s="46" t="n">
        <x:v>2026</x:v>
      </x:c>
      <x:c r="I41" s="34" t="str">
        <x:v>Single-cell genomics and clinical transcriptomics</x:v>
      </x:c>
      <x:c r="J41" s="34" t="str">
        <x:v>cancer and immune disease</x:v>
      </x:c>
      <x:c r="K41" s="42" t="str">
        <x:v>高</x:v>
      </x:c>
      <x:c r="L41" s="52" t="n">
        <x:v>5</x:v>
      </x:c>
      <x:c r="M41" s="52" t="n">
        <x:v>5</x:v>
      </x:c>
      <x:c r="N41" s="52" t="n">
        <x:v>2</x:v>
      </x:c>
      <x:c r="O41" s="52" t="n">
        <x:v>2</x:v>
      </x:c>
      <x:c r="P41" s="52" t="n">
        <x:f>L41*7+M41*7+N41*10+O41*5</x:f>
        <x:v>100</x:v>
      </x:c>
      <x:c r="Q41" s="52" t="n">
        <x:f>MIN(100,P41+IF(D41="Germany",10,0))</x:f>
        <x:v>100</x:v>
      </x:c>
      <x:c r="R41" s="34" t="str">
        <x:v>STAMP: Single-cell transcriptomics analysis and multimodal profiling through imaging</x:v>
      </x:c>
      <x:c r="S41" s="28" t="str">
        <x:v>Cell</x:v>
      </x:c>
      <x:c r="T41" s="42" t="n">
        <x:v>2025</x:v>
      </x:c>
      <x:c r="U41" s="49" t="n">
        <x:v>42.5</x:v>
      </x:c>
      <x:c r="V41" s="42" t="n">
        <x:v>2024</x:v>
      </x:c>
      <x:c r="W41" s="28" t="str">
        <x:v>https://doi.org/10.1016/j.cell.2025.05.027</x:v>
      </x:c>
      <x:c r="X41" s="28" t="str">
        <x:v>https://www.cell.com/cell/home</x:v>
      </x:c>
      <x:c r="Y41" s="28" t="str">
        <x:v>https://europepmc.org/articles/PMC13006398</x:v>
      </x:c>
      <x:c r="Z41" s="28" t="str">
        <x:v>https://openalex.org/A5069693450</x:v>
      </x:c>
      <x:c r="AA41" s="28" t="str">
        <x:v>https://orcid.org/0000-0002-3276-1889</x:v>
      </x:c>
      <x:c r="AB41" s="28" t="str">
        <x:v>是</x:v>
      </x:c>
      <x:c r="AC41" s="34" t="str">
        <x:v>建议发送前再用机构官网确认</x:v>
      </x:c>
      <x:c r="AD41" s="37" t="str">
        <x:v>Institució Catalana de Recerca i Estudis Avançats | Scope Group (United States) | Centro Nacional de Análisis Genómico | Universitat de Barcelona</x:v>
      </x:c>
    </x:row>
    <x:row r="42">
      <x:c r="A42" s="41" t="n">
        <x:v>38</x:v>
      </x:c>
      <x:c r="B42" s="42" t="str">
        <x:f>IF(Q42&gt;=95,"A-优先联系",IF(Q42&gt;=85,"B-重点关注","C-补充候选"))</x:f>
        <x:v>A-优先联系</x:v>
      </x:c>
      <x:c r="C42" s="28" t="str">
        <x:v>Irene Bozzoni</x:v>
      </x:c>
      <x:c r="D42" s="28" t="str">
        <x:v>Italy</x:v>
      </x:c>
      <x:c r="E42" s="34" t="str">
        <x:v>Sapienza University of Rome</x:v>
      </x:c>
      <x:c r="F42" s="34" t="str">
        <x:v>irene.bozzoni@uniroma1.it</x:v>
      </x:c>
      <x:c r="G42" s="46" t="str">
        <x:v>较高（近期论文通讯邮箱）</x:v>
      </x:c>
      <x:c r="H42" s="46" t="n">
        <x:v>2026</x:v>
      </x:c>
      <x:c r="I42" s="34" t="str">
        <x:v>Long non-coding RNA and RNA therapeutics</x:v>
      </x:c>
      <x:c r="J42" s="34" t="str">
        <x:v>neuromuscular disease</x:v>
      </x:c>
      <x:c r="K42" s="42" t="str">
        <x:v>高</x:v>
      </x:c>
      <x:c r="L42" s="52" t="n">
        <x:v>5</x:v>
      </x:c>
      <x:c r="M42" s="52" t="n">
        <x:v>5</x:v>
      </x:c>
      <x:c r="N42" s="52" t="n">
        <x:v>2</x:v>
      </x:c>
      <x:c r="O42" s="52" t="n">
        <x:v>2</x:v>
      </x:c>
      <x:c r="P42" s="52" t="n">
        <x:f>L42*7+M42*7+N42*10+O42*5</x:f>
        <x:v>100</x:v>
      </x:c>
      <x:c r="Q42" s="52" t="n">
        <x:f>MIN(100,P42+IF(D42="Germany",10,0))</x:f>
        <x:v>100</x:v>
      </x:c>
      <x:c r="R42" s="34" t="str">
        <x:v>The role of low-complexity repeats in RNA–RNA interactions and a deep learning framework for duplex prediction</x:v>
      </x:c>
      <x:c r="S42" s="28" t="str">
        <x:v>Nature Communications</x:v>
      </x:c>
      <x:c r="T42" s="42" t="n">
        <x:v>2026</x:v>
      </x:c>
      <x:c r="U42" s="49" t="n">
        <x:v>18.1</x:v>
      </x:c>
      <x:c r="V42" s="42" t="n">
        <x:v>2025</x:v>
      </x:c>
      <x:c r="W42" s="28" t="str">
        <x:v>https://doi.org/10.1038/s41467-026-68356-w</x:v>
      </x:c>
      <x:c r="X42" s="28" t="str">
        <x:v>https://www.nature.com/ncomms/ncomms/journal-impact</x:v>
      </x:c>
      <x:c r="Y42" s="28" t="str">
        <x:v>https://europepmc.org/articles/PMC13085922</x:v>
      </x:c>
      <x:c r="Z42" s="28" t="str">
        <x:v>https://openalex.org/A5015570184</x:v>
      </x:c>
      <x:c r="AA42" s="28" t="str">
        <x:v>https://orcid.org/0000-0002-3485-8537</x:v>
      </x:c>
      <x:c r="AB42" s="28" t="str">
        <x:v>是</x:v>
      </x:c>
      <x:c r="AC42" s="34" t="str">
        <x:v>建议发送前再用机构官网确认</x:v>
      </x:c>
      <x:c r="AD42" s="37" t="str">
        <x:v>Italian Institute of Technology | Center for Nano Science and Technology | Sapienza University of Rome</x:v>
      </x:c>
    </x:row>
    <x:row r="43">
      <x:c r="A43" s="41" t="n">
        <x:v>39</x:v>
      </x:c>
      <x:c r="B43" s="42" t="str">
        <x:f>IF(Q43&gt;=95,"A-优先联系",IF(Q43&gt;=85,"B-重点关注","C-补充候选"))</x:f>
        <x:v>A-优先联系</x:v>
      </x:c>
      <x:c r="C43" s="28" t="str">
        <x:v>Jernej Ule</x:v>
      </x:c>
      <x:c r="D43" s="28" t="str">
        <x:v>United Kingdom</x:v>
      </x:c>
      <x:c r="E43" s="34" t="str">
        <x:v>The Francis Crick Institute / King's College London</x:v>
      </x:c>
      <x:c r="F43" s="34" t="str">
        <x:v>jernej.ule@kcl.ac.uk</x:v>
      </x:c>
      <x:c r="G43" s="46" t="str">
        <x:v>较高（近期论文通讯邮箱）</x:v>
      </x:c>
      <x:c r="H43" s="46" t="n">
        <x:v>2026</x:v>
      </x:c>
      <x:c r="I43" s="34" t="str">
        <x:v>RNA-protein interactions, splicing and neurodegeneration</x:v>
      </x:c>
      <x:c r="J43" s="34" t="str">
        <x:v>ALS/FTD and neurological disease</x:v>
      </x:c>
      <x:c r="K43" s="42" t="str">
        <x:v>高</x:v>
      </x:c>
      <x:c r="L43" s="52" t="n">
        <x:v>5</x:v>
      </x:c>
      <x:c r="M43" s="52" t="n">
        <x:v>5</x:v>
      </x:c>
      <x:c r="N43" s="52" t="n">
        <x:v>2</x:v>
      </x:c>
      <x:c r="O43" s="52" t="n">
        <x:v>2</x:v>
      </x:c>
      <x:c r="P43" s="52" t="n">
        <x:f>L43*7+M43*7+N43*10+O43*5</x:f>
        <x:v>100</x:v>
      </x:c>
      <x:c r="Q43" s="52" t="n">
        <x:f>MIN(100,P43+IF(D43="Germany",10,0))</x:f>
        <x:v>100</x:v>
      </x:c>
      <x:c r="R43" s="34" t="str">
        <x:v>Meta-unstable mRNAs in activated CD8+ T cells are defined by interlinked AU-rich elements and m6A mRNA methylation</x:v>
      </x:c>
      <x:c r="S43" s="28" t="str">
        <x:v>Nature Communications</x:v>
      </x:c>
      <x:c r="T43" s="42" t="n">
        <x:v>2026</x:v>
      </x:c>
      <x:c r="U43" s="49" t="n">
        <x:v>18.1</x:v>
      </x:c>
      <x:c r="V43" s="42" t="n">
        <x:v>2025</x:v>
      </x:c>
      <x:c r="W43" s="28" t="str">
        <x:v>https://doi.org/10.1038/s41467-025-67762-w</x:v>
      </x:c>
      <x:c r="X43" s="28" t="str">
        <x:v>https://www.nature.com/ncomms/ncomms/journal-impact</x:v>
      </x:c>
      <x:c r="Y43" s="28" t="str">
        <x:v>https://europepmc.org/articles/PMC12827480</x:v>
      </x:c>
      <x:c r="Z43" s="28" t="str">
        <x:v>https://openalex.org/A5081437536</x:v>
      </x:c>
      <x:c r="AA43" s="28" t="str">
        <x:v>https://orcid.org/0000-0002-2452-4277</x:v>
      </x:c>
      <x:c r="AB43" s="28" t="str">
        <x:v>是</x:v>
      </x:c>
      <x:c r="AC43" s="34" t="str">
        <x:v>建议发送前再用机构官网确认</x:v>
      </x:c>
      <x:c r="AD43" s="37" t="str">
        <x:v>King's College London | The Francis Crick Institute | UK Dementia Research Institute | National Hospital for Neurology and Neurosurgery | National Institute of Chemistry | University College London | University of Pennsylvania</x:v>
      </x:c>
    </x:row>
    <x:row r="44">
      <x:c r="A44" s="41" t="n">
        <x:v>40</x:v>
      </x:c>
      <x:c r="B44" s="42" t="str">
        <x:f>IF(Q44&gt;=95,"A-优先联系",IF(Q44&gt;=85,"B-重点关注","C-补充候选"))</x:f>
        <x:v>A-优先联系</x:v>
      </x:c>
      <x:c r="C44" s="28" t="str">
        <x:v>Jo Vandesompele</x:v>
      </x:c>
      <x:c r="D44" s="28" t="str">
        <x:v>Belgium</x:v>
      </x:c>
      <x:c r="E44" s="34" t="str">
        <x:v>Ghent University</x:v>
      </x:c>
      <x:c r="F44" s="34" t="str">
        <x:v>jo.vandesompele@ugent.be</x:v>
      </x:c>
      <x:c r="G44" s="46" t="str">
        <x:v>较高（近期论文通讯邮箱）</x:v>
      </x:c>
      <x:c r="H44" s="46" t="n">
        <x:v>2026</x:v>
      </x:c>
      <x:c r="I44" s="34" t="str">
        <x:v>RNA quantification, liquid biopsy and biomarkers</x:v>
      </x:c>
      <x:c r="J44" s="34" t="str">
        <x:v>cancer diagnostics</x:v>
      </x:c>
      <x:c r="K44" s="42" t="str">
        <x:v>高</x:v>
      </x:c>
      <x:c r="L44" s="52" t="n">
        <x:v>5</x:v>
      </x:c>
      <x:c r="M44" s="52" t="n">
        <x:v>5</x:v>
      </x:c>
      <x:c r="N44" s="52" t="n">
        <x:v>2</x:v>
      </x:c>
      <x:c r="O44" s="52" t="n">
        <x:v>2</x:v>
      </x:c>
      <x:c r="P44" s="52" t="n">
        <x:f>L44*7+M44*7+N44*10+O44*5</x:f>
        <x:v>100</x:v>
      </x:c>
      <x:c r="Q44" s="52" t="n">
        <x:f>MIN(100,P44+IF(D44="Germany",10,0))</x:f>
        <x:v>100</x:v>
      </x:c>
      <x:c r="R44" s="34" t="str">
        <x:v>Blood collection tube and RNA purification method recommendations for extracellular RNA transcriptome profiling</x:v>
      </x:c>
      <x:c r="S44" s="28" t="str">
        <x:v>Nature Communications</x:v>
      </x:c>
      <x:c r="T44" s="42" t="n">
        <x:v>2025</x:v>
      </x:c>
      <x:c r="U44" s="49" t="n">
        <x:v>18.1</x:v>
      </x:c>
      <x:c r="V44" s="42" t="n">
        <x:v>2025</x:v>
      </x:c>
      <x:c r="W44" s="28" t="str">
        <x:v>https://doi.org/10.1038/s41467-025-58607-7</x:v>
      </x:c>
      <x:c r="X44" s="28" t="str">
        <x:v>https://www.nature.com/ncomms/ncomms/journal-impact</x:v>
      </x:c>
      <x:c r="Y44" s="28" t="str">
        <x:v>https://europepmc.org/articles/PMC13034549</x:v>
      </x:c>
      <x:c r="Z44" s="28" t="str">
        <x:v>https://openalex.org/A5086580140</x:v>
      </x:c>
      <x:c r="AA44" s="28" t="str">
        <x:v>https://orcid.org/0000-0001-6274-0184</x:v>
      </x:c>
      <x:c r="AB44" s="28" t="str">
        <x:v>是</x:v>
      </x:c>
      <x:c r="AC44" s="34" t="str">
        <x:v>建议发送前再用机构官网确认</x:v>
      </x:c>
      <x:c r="AD44" s="37" t="str">
        <x:v>Ablynx (Belgium) | Ghent University Hospital | Ghent University | Cancer Research Institute Ghent</x:v>
      </x:c>
    </x:row>
    <x:row r="45">
      <x:c r="A45" s="41" t="n">
        <x:v>41</x:v>
      </x:c>
      <x:c r="B45" s="42" t="str">
        <x:f>IF(Q45&gt;=95,"A-优先联系",IF(Q45&gt;=85,"B-重点关注","C-补充候选"))</x:f>
        <x:v>A-优先联系</x:v>
      </x:c>
      <x:c r="C45" s="28" t="str">
        <x:v>Joakim Lundeberg</x:v>
      </x:c>
      <x:c r="D45" s="28" t="str">
        <x:v>Sweden</x:v>
      </x:c>
      <x:c r="E45" s="34" t="str">
        <x:v>KTH Royal Institute of Technology</x:v>
      </x:c>
      <x:c r="F45" s="34" t="str">
        <x:v>joakim.lundeberg@scilifelab.se</x:v>
      </x:c>
      <x:c r="G45" s="46" t="str">
        <x:v>较高（近期论文通讯邮箱）</x:v>
      </x:c>
      <x:c r="H45" s="46" t="n">
        <x:v>2025</x:v>
      </x:c>
      <x:c r="I45" s="34" t="str">
        <x:v>Spatial transcriptomics</x:v>
      </x:c>
      <x:c r="J45" s="34" t="str">
        <x:v>cancer and human tissue mapping</x:v>
      </x:c>
      <x:c r="K45" s="42" t="str">
        <x:v>高</x:v>
      </x:c>
      <x:c r="L45" s="52" t="n">
        <x:v>5</x:v>
      </x:c>
      <x:c r="M45" s="52" t="n">
        <x:v>5</x:v>
      </x:c>
      <x:c r="N45" s="52" t="n">
        <x:v>2</x:v>
      </x:c>
      <x:c r="O45" s="52" t="n">
        <x:v>2</x:v>
      </x:c>
      <x:c r="P45" s="52" t="n">
        <x:f>L45*7+M45*7+N45*10+O45*5</x:f>
        <x:v>100</x:v>
      </x:c>
      <x:c r="Q45" s="52" t="n">
        <x:f>MIN(100,P45+IF(D45="Germany",10,0))</x:f>
        <x:v>100</x:v>
      </x:c>
      <x:c r="R45" s="34" t="str">
        <x:v>Spatiotemporal gene expression and cellular dynamics of the developing human heart</x:v>
      </x:c>
      <x:c r="S45" s="28" t="str">
        <x:v>Nature Genetics</x:v>
      </x:c>
      <x:c r="T45" s="42" t="n">
        <x:v>2025</x:v>
      </x:c>
      <x:c r="U45" s="49" t="n">
        <x:v>29</x:v>
      </x:c>
      <x:c r="V45" s="42" t="n">
        <x:v>2024</x:v>
      </x:c>
      <x:c r="W45" s="28" t="str">
        <x:v>https://doi.org/10.1038/s41588-025-02352-6</x:v>
      </x:c>
      <x:c r="X45" s="28" t="str">
        <x:v>https://www.nature.com/ng/journal-impact</x:v>
      </x:c>
      <x:c r="Y45" s="28" t="str">
        <x:v>https://europepmc.org/articles/PMC12597827</x:v>
      </x:c>
      <x:c r="Z45" s="28" t="str">
        <x:v>https://openalex.org/A5054656710</x:v>
      </x:c>
      <x:c r="AA45" s="28" t="str">
        <x:v>https://orcid.org/0000-0003-4313-1601</x:v>
      </x:c>
      <x:c r="AB45" s="28" t="str">
        <x:v>是</x:v>
      </x:c>
      <x:c r="AC45" s="34" t="str">
        <x:v>建议发送前再用机构官网确认</x:v>
      </x:c>
      <x:c r="AD45" s="37" t="str">
        <x:v>Science for Life Laboratory | KTH Royal Institute of Technology</x:v>
      </x:c>
    </x:row>
    <x:row r="46">
      <x:c r="A46" s="41" t="n">
        <x:v>42</x:v>
      </x:c>
      <x:c r="B46" s="42" t="str">
        <x:f>IF(Q46&gt;=95,"A-优先联系",IF(Q46&gt;=85,"B-重点关注","C-补充候选"))</x:f>
        <x:v>A-优先联系</x:v>
      </x:c>
      <x:c r="C46" s="28" t="str">
        <x:v>Joao Conde</x:v>
      </x:c>
      <x:c r="D46" s="28" t="str">
        <x:v>Portugal</x:v>
      </x:c>
      <x:c r="E46" s="34" t="str">
        <x:v>NOVA Medical School</x:v>
      </x:c>
      <x:c r="F46" s="34" t="str">
        <x:v>joao.conde@nms.unl</x:v>
      </x:c>
      <x:c r="G46" s="46" t="str">
        <x:v>较高（近期论文通讯邮箱）</x:v>
      </x:c>
      <x:c r="H46" s="46" t="n">
        <x:v>2026</x:v>
      </x:c>
      <x:c r="I46" s="34" t="str">
        <x:v>RNA nanomedicine and targeted delivery</x:v>
      </x:c>
      <x:c r="J46" s="34" t="str">
        <x:v>cancer therapy</x:v>
      </x:c>
      <x:c r="K46" s="42" t="str">
        <x:v>高</x:v>
      </x:c>
      <x:c r="L46" s="52" t="n">
        <x:v>5</x:v>
      </x:c>
      <x:c r="M46" s="52" t="n">
        <x:v>5</x:v>
      </x:c>
      <x:c r="N46" s="52" t="n">
        <x:v>2</x:v>
      </x:c>
      <x:c r="O46" s="52" t="n">
        <x:v>2</x:v>
      </x:c>
      <x:c r="P46" s="52" t="n">
        <x:f>L46*7+M46*7+N46*10+O46*5</x:f>
        <x:v>100</x:v>
      </x:c>
      <x:c r="Q46" s="52" t="n">
        <x:f>MIN(100,P46+IF(D46="Germany",10,0))</x:f>
        <x:v>100</x:v>
      </x:c>
      <x:c r="R46" s="34" t="str">
        <x:v>Local microRNA delivery targets Palladin and prevents metastatic breast cancer</x:v>
      </x:c>
      <x:c r="S46" s="28" t="str">
        <x:v>Nature Communications</x:v>
      </x:c>
      <x:c r="T46" s="42" t="n">
        <x:v>2016</x:v>
      </x:c>
      <x:c r="U46" s="49" t="n">
        <x:v>18.1</x:v>
      </x:c>
      <x:c r="V46" s="42" t="n">
        <x:v>2025</x:v>
      </x:c>
      <x:c r="W46" s="28" t="str">
        <x:v>https://doi.org/10.1038/ncomms12868</x:v>
      </x:c>
      <x:c r="X46" s="28" t="str">
        <x:v>https://www.nature.com/ncomms/ncomms/journal-impact</x:v>
      </x:c>
      <x:c r="Y46" s="28" t="str">
        <x:v>https://europepmc.org/articles/PMC12978241</x:v>
      </x:c>
      <x:c r="Z46" s="28" t="str">
        <x:v>https://openalex.org/A5058199128</x:v>
      </x:c>
      <x:c r="AA46" s="28" t="str">
        <x:v>https://orcid.org/0000-0001-8422-6792</x:v>
      </x:c>
      <x:c r="AB46" s="28" t="str">
        <x:v>是</x:v>
      </x:c>
      <x:c r="AC46" s="34" t="str">
        <x:v>建议发送前再用机构官网确认</x:v>
      </x:c>
      <x:c r="AD46" s="37" t="str">
        <x:v>University of Lisbon | Dalian Medical University | Second Affiliated Hospital of Chongqing Medical University | Faculdade de Ciências Médicas de Minas Gerais | Nova Medical (United States) | Universidade Nova de Lisboa | Chongqing Medical University</x:v>
      </x:c>
    </x:row>
    <x:row r="47">
      <x:c r="A47" s="41" t="n">
        <x:v>43</x:v>
      </x:c>
      <x:c r="B47" s="42" t="str">
        <x:f>IF(Q47&gt;=95,"A-优先联系",IF(Q47&gt;=85,"B-重点关注","C-补充候选"))</x:f>
        <x:v>A-优先联系</x:v>
      </x:c>
      <x:c r="C47" s="28" t="str">
        <x:v>Johan Hartman</x:v>
      </x:c>
      <x:c r="D47" s="28" t="str">
        <x:v>Sweden</x:v>
      </x:c>
      <x:c r="E47" s="34" t="str">
        <x:v>Karolinska Institutet</x:v>
      </x:c>
      <x:c r="F47" s="34" t="str">
        <x:v>johan.hartman@ki.se</x:v>
      </x:c>
      <x:c r="G47" s="46" t="str">
        <x:v>较高（近期论文通讯邮箱）</x:v>
      </x:c>
      <x:c r="H47" s="46" t="n">
        <x:v>2026</x:v>
      </x:c>
      <x:c r="I47" s="34" t="str">
        <x:v>Spatial transcriptomics and breast-cancer pathology</x:v>
      </x:c>
      <x:c r="J47" s="34" t="str">
        <x:v>breast cancer diagnostics</x:v>
      </x:c>
      <x:c r="K47" s="42" t="str">
        <x:v>高</x:v>
      </x:c>
      <x:c r="L47" s="52" t="n">
        <x:v>5</x:v>
      </x:c>
      <x:c r="M47" s="52" t="n">
        <x:v>5</x:v>
      </x:c>
      <x:c r="N47" s="52" t="n">
        <x:v>2</x:v>
      </x:c>
      <x:c r="O47" s="52" t="n">
        <x:v>2</x:v>
      </x:c>
      <x:c r="P47" s="52" t="n">
        <x:f>L47*7+M47*7+N47*10+O47*5</x:f>
        <x:v>100</x:v>
      </x:c>
      <x:c r="Q47" s="52" t="n">
        <x:f>MIN(100,P47+IF(D47="Germany",10,0))</x:f>
        <x:v>100</x:v>
      </x:c>
      <x:c r="R47" s="34" t="str">
        <x:v>Deciphering direct transcriptional effects of epigenetic compounds through large-scale new RNA profiling</x:v>
      </x:c>
      <x:c r="S47" s="28" t="str">
        <x:v>Nature Communications</x:v>
      </x:c>
      <x:c r="T47" s="42" t="n">
        <x:v>2025</x:v>
      </x:c>
      <x:c r="U47" s="49" t="n">
        <x:v>18.1</x:v>
      </x:c>
      <x:c r="V47" s="42" t="n">
        <x:v>2025</x:v>
      </x:c>
      <x:c r="W47" s="28" t="str">
        <x:v>https://doi.org/10.1038/s41467-025-61769-z</x:v>
      </x:c>
      <x:c r="X47" s="28" t="str">
        <x:v>https://www.nature.com/ncomms/ncomms/journal-impact</x:v>
      </x:c>
      <x:c r="Y47" s="28" t="str">
        <x:v>https://europepmc.org/articles/PMC13301505</x:v>
      </x:c>
      <x:c r="Z47" s="28" t="str">
        <x:v>https://openalex.org/A5008654654</x:v>
      </x:c>
      <x:c r="AA47" s="28" t="str">
        <x:v>https://orcid.org/0000-0002-6500-8527</x:v>
      </x:c>
      <x:c r="AB47" s="28" t="str">
        <x:v>是</x:v>
      </x:c>
      <x:c r="AC47" s="34" t="str">
        <x:v>建议发送前再用机构官网确认</x:v>
      </x:c>
      <x:c r="AD47" s="37" t="str">
        <x:v>Karolinska University Hospital | Karolinska Institutet</x:v>
      </x:c>
    </x:row>
    <x:row r="48">
      <x:c r="A48" s="41" t="n">
        <x:v>44</x:v>
      </x:c>
      <x:c r="B48" s="42" t="str">
        <x:f>IF(Q48&gt;=95,"A-优先联系",IF(Q48&gt;=85,"B-重点关注","C-补充候选"))</x:f>
        <x:v>A-优先联系</x:v>
      </x:c>
      <x:c r="C48" s="28" t="str">
        <x:v>Johannes Zuber</x:v>
      </x:c>
      <x:c r="D48" s="28" t="str">
        <x:v>Austria</x:v>
      </x:c>
      <x:c r="E48" s="34" t="str">
        <x:v>Research Institute of Molecular Pathology</x:v>
      </x:c>
      <x:c r="F48" s="34" t="str">
        <x:v>johannes.zuber@imp.ac.at</x:v>
      </x:c>
      <x:c r="G48" s="46" t="str">
        <x:v>较高（近期论文通讯邮箱）</x:v>
      </x:c>
      <x:c r="H48" s="46" t="n">
        <x:v>2026</x:v>
      </x:c>
      <x:c r="I48" s="34" t="str">
        <x:v>Functional genomics and RNA-guided cancer dependencies</x:v>
      </x:c>
      <x:c r="J48" s="34" t="str">
        <x:v>leukemia</x:v>
      </x:c>
      <x:c r="K48" s="42" t="str">
        <x:v>高</x:v>
      </x:c>
      <x:c r="L48" s="52" t="n">
        <x:v>5</x:v>
      </x:c>
      <x:c r="M48" s="52" t="n">
        <x:v>5</x:v>
      </x:c>
      <x:c r="N48" s="52" t="n">
        <x:v>2</x:v>
      </x:c>
      <x:c r="O48" s="52" t="n">
        <x:v>2</x:v>
      </x:c>
      <x:c r="P48" s="52" t="n">
        <x:f>L48*7+M48*7+N48*10+O48*5</x:f>
        <x:v>100</x:v>
      </x:c>
      <x:c r="Q48" s="52" t="n">
        <x:f>MIN(100,P48+IF(D48="Germany",10,0))</x:f>
        <x:v>100</x:v>
      </x:c>
      <x:c r="R48" s="34" t="str">
        <x:v>Cellular assembly and functional resilience of the mammalian RNA exosome</x:v>
      </x:c>
      <x:c r="S48" s="28" t="str">
        <x:v>The EMBO Journal</x:v>
      </x:c>
      <x:c r="T48" s="42" t="n">
        <x:v>2026</x:v>
      </x:c>
      <x:c r="U48" s="49" t="n">
        <x:v>9.4</x:v>
      </x:c>
      <x:c r="V48" s="42" t="n">
        <x:v>2024</x:v>
      </x:c>
      <x:c r="W48" s="28" t="str">
        <x:v>https://doi.org/10.1038/s44318-026-00824-x</x:v>
      </x:c>
      <x:c r="X48" s="28" t="str">
        <x:v>https://www.embopress.org/journal/14602075</x:v>
      </x:c>
      <x:c r="Y48" s="28" t="str">
        <x:v>https://europepmc.org/articles/PMC12979645</x:v>
      </x:c>
      <x:c r="Z48" s="28" t="str">
        <x:v>https://openalex.org/A5091324982</x:v>
      </x:c>
      <x:c r="AA48" s="28" t="str">
        <x:v>https://orcid.org/0000-0001-8810-6835</x:v>
      </x:c>
      <x:c r="AB48" s="28" t="str">
        <x:v>是</x:v>
      </x:c>
      <x:c r="AC48" s="34" t="str">
        <x:v>建议发送前再用机构官网确认</x:v>
      </x:c>
      <x:c r="AD48" s="37" t="str">
        <x:v>Research Institute of Molecular Pathology | Vienna Biocenter | Medical University of Vienna</x:v>
      </x:c>
    </x:row>
    <x:row r="49">
      <x:c r="A49" s="41" t="n">
        <x:v>45</x:v>
      </x:c>
      <x:c r="B49" s="42" t="str">
        <x:f>IF(Q49&gt;=95,"A-优先联系",IF(Q49&gt;=85,"B-重点关注","C-补充候选"))</x:f>
        <x:v>A-优先联系</x:v>
      </x:c>
      <x:c r="C49" s="28" t="str">
        <x:v>Jonathan Hall</x:v>
      </x:c>
      <x:c r="D49" s="28" t="str">
        <x:v>Switzerland</x:v>
      </x:c>
      <x:c r="E49" s="34" t="str">
        <x:v>ETH Zurich</x:v>
      </x:c>
      <x:c r="F49" s="34" t="str">
        <x:v>jonathan.hall@pcr.uu.se</x:v>
      </x:c>
      <x:c r="G49" s="46" t="str">
        <x:v>较高（近期论文通讯邮箱）</x:v>
      </x:c>
      <x:c r="H49" s="46" t="n">
        <x:v>2026</x:v>
      </x:c>
      <x:c r="I49" s="34" t="str">
        <x:v>RNA therapeutics and oligonucleotide chemistry</x:v>
      </x:c>
      <x:c r="J49" s="34" t="str">
        <x:v>rare and metabolic disease</x:v>
      </x:c>
      <x:c r="K49" s="42" t="str">
        <x:v>高</x:v>
      </x:c>
      <x:c r="L49" s="52" t="n">
        <x:v>5</x:v>
      </x:c>
      <x:c r="M49" s="52" t="n">
        <x:v>5</x:v>
      </x:c>
      <x:c r="N49" s="52" t="n">
        <x:v>2</x:v>
      </x:c>
      <x:c r="O49" s="52" t="n">
        <x:v>2</x:v>
      </x:c>
      <x:c r="P49" s="52" t="n">
        <x:f>L49*7+M49*7+N49*10+O49*5</x:f>
        <x:v>100</x:v>
      </x:c>
      <x:c r="Q49" s="52" t="n">
        <x:f>MIN(100,P49+IF(D49="Germany",10,0))</x:f>
        <x:v>100</x:v>
      </x:c>
      <x:c r="R49" s="34" t="str">
        <x:v>Mechanistic determinants and dynamics of cA6 synthesis in type III CRISPR-Cas effector complexes</x:v>
      </x:c>
      <x:c r="S49" s="28" t="str">
        <x:v>Nucleic Acids Research</x:v>
      </x:c>
      <x:c r="T49" s="42" t="n">
        <x:v>2025</x:v>
      </x:c>
      <x:c r="U49" s="49" t="n">
        <x:v>15</x:v>
      </x:c>
      <x:c r="V49" s="42" t="n">
        <x:v>2025</x:v>
      </x:c>
      <x:c r="W49" s="28" t="str">
        <x:v>https://doi.org/10.1093/nar/gkae1277</x:v>
      </x:c>
      <x:c r="X49" s="28" t="str">
        <x:v>https://academic.oup.com/nar/pages/about</x:v>
      </x:c>
      <x:c r="Y49" s="28" t="str">
        <x:v>https://europepmc.org/articles/PMC12930577</x:v>
      </x:c>
      <x:c r="Z49" s="28" t="str">
        <x:v>https://openalex.org/A5012415692</x:v>
      </x:c>
      <x:c r="AA49" s="28" t="str">
        <x:v>https://orcid.org/0000-0003-4160-7135</x:v>
      </x:c>
      <x:c r="AB49" s="28" t="str">
        <x:v>是</x:v>
      </x:c>
      <x:c r="AC49" s="34" t="str">
        <x:v>建议发送前再用机构官网确认</x:v>
      </x:c>
      <x:c r="AD49" s="37" t="str">
        <x:v>University of Zurich | Board of the Swiss Federal Institutes of Technology | ETH Zurich | University Hospital of Zurich | Mahle (United Kingdom) | National Power (United Kingdom) | Mahle (Austria) | Brunel University of London</x:v>
      </x:c>
    </x:row>
    <x:row r="50">
      <x:c r="A50" s="41" t="n">
        <x:v>46</x:v>
      </x:c>
      <x:c r="B50" s="42" t="str">
        <x:f>IF(Q50&gt;=95,"A-优先联系",IF(Q50&gt;=85,"B-重点关注","C-补充候选"))</x:f>
        <x:v>A-优先联系</x:v>
      </x:c>
      <x:c r="C50" s="28" t="str">
        <x:v>Juan Valcarcel</x:v>
      </x:c>
      <x:c r="D50" s="28" t="str">
        <x:v>Spain</x:v>
      </x:c>
      <x:c r="E50" s="34" t="str">
        <x:v>Centre for Genomic Regulation</x:v>
      </x:c>
      <x:c r="F50" s="34" t="str">
        <x:v>juan.valcarcel@crg.eu</x:v>
      </x:c>
      <x:c r="G50" s="46" t="str">
        <x:v>较高（近期论文通讯邮箱）</x:v>
      </x:c>
      <x:c r="H50" s="46" t="n">
        <x:v>2025</x:v>
      </x:c>
      <x:c r="I50" s="34" t="str">
        <x:v>Pre-mRNA splicing and disease</x:v>
      </x:c>
      <x:c r="J50" s="34" t="str">
        <x:v>cancer</x:v>
      </x:c>
      <x:c r="K50" s="42" t="str">
        <x:v>高</x:v>
      </x:c>
      <x:c r="L50" s="52" t="n">
        <x:v>5</x:v>
      </x:c>
      <x:c r="M50" s="52" t="n">
        <x:v>5</x:v>
      </x:c>
      <x:c r="N50" s="52" t="n">
        <x:v>2</x:v>
      </x:c>
      <x:c r="O50" s="52" t="n">
        <x:v>2</x:v>
      </x:c>
      <x:c r="P50" s="52" t="n">
        <x:f>L50*7+M50*7+N50*10+O50*5</x:f>
        <x:v>100</x:v>
      </x:c>
      <x:c r="Q50" s="52" t="n">
        <x:f>MIN(100,P50+IF(D50="Germany",10,0))</x:f>
        <x:v>100</x:v>
      </x:c>
      <x:c r="R50" s="34" t="str">
        <x:v>Polyamine-dependent metabolic shielding regulates alternative splicing</x:v>
      </x:c>
      <x:c r="S50" s="28" t="str">
        <x:v>Nature</x:v>
      </x:c>
      <x:c r="T50" s="42" t="n">
        <x:v>2026</x:v>
      </x:c>
      <x:c r="U50" s="49" t="n">
        <x:v>48.5</x:v>
      </x:c>
      <x:c r="V50" s="42" t="n">
        <x:v>2024</x:v>
      </x:c>
      <x:c r="W50" s="28" t="str">
        <x:v>https://doi.org/10.1038/s41586-025-09965-1</x:v>
      </x:c>
      <x:c r="X50" s="28" t="str">
        <x:v>https://www.nature.com/nature/journal-impact</x:v>
      </x:c>
      <x:c r="Y50" s="28" t="str">
        <x:v>https://europepmc.org/articles/PMC12398528</x:v>
      </x:c>
      <x:c r="Z50" s="28" t="str">
        <x:v>https://openalex.org/A5022884999</x:v>
      </x:c>
      <x:c r="AA50" s="28" t="str">
        <x:v>https://orcid.org/0000-0001-5398-3571</x:v>
      </x:c>
      <x:c r="AB50" s="28" t="str">
        <x:v>是</x:v>
      </x:c>
      <x:c r="AC50" s="34" t="str">
        <x:v>建议发送前再用机构官网确认</x:v>
      </x:c>
      <x:c r="AD50" s="37" t="str">
        <x:v>Institució Catalana de Recerca i Estudis Avançats | Universitat Pompeu Fabra | Centre for Genomic Regulation</x:v>
      </x:c>
    </x:row>
    <x:row r="51">
      <x:c r="A51" s="41" t="n">
        <x:v>47</x:v>
      </x:c>
      <x:c r="B51" s="42" t="str">
        <x:f>IF(Q51&gt;=95,"A-优先联系",IF(Q51&gt;=85,"B-重点关注","C-补充候选"))</x:f>
        <x:v>A-优先联系</x:v>
      </x:c>
      <x:c r="C51" s="28" t="str">
        <x:v>Juana Diez</x:v>
      </x:c>
      <x:c r="D51" s="28" t="str">
        <x:v>Spain</x:v>
      </x:c>
      <x:c r="E51" s="34" t="str">
        <x:v>Pompeu Fabra University</x:v>
      </x:c>
      <x:c r="F51" s="34" t="str">
        <x:v>juana.diez@upf.edu</x:v>
      </x:c>
      <x:c r="G51" s="46" t="str">
        <x:v>较高（近期论文通讯邮箱）</x:v>
      </x:c>
      <x:c r="H51" s="46" t="n">
        <x:v>2026</x:v>
      </x:c>
      <x:c r="I51" s="34" t="str">
        <x:v>RNA virus-host interactions</x:v>
      </x:c>
      <x:c r="J51" s="34" t="str">
        <x:v>viral infection</x:v>
      </x:c>
      <x:c r="K51" s="42" t="str">
        <x:v>高</x:v>
      </x:c>
      <x:c r="L51" s="52" t="n">
        <x:v>5</x:v>
      </x:c>
      <x:c r="M51" s="52" t="n">
        <x:v>5</x:v>
      </x:c>
      <x:c r="N51" s="52" t="n">
        <x:v>2</x:v>
      </x:c>
      <x:c r="O51" s="52" t="n">
        <x:v>2</x:v>
      </x:c>
      <x:c r="P51" s="52" t="n">
        <x:f>L51*7+M51*7+N51*10+O51*5</x:f>
        <x:v>100</x:v>
      </x:c>
      <x:c r="Q51" s="52" t="n">
        <x:f>MIN(100,P51+IF(D51="Germany",10,0))</x:f>
        <x:v>100</x:v>
      </x:c>
      <x:c r="R51" s="34" t="str">
        <x:v>Coronaviruses reprogram the tRNA epitranscriptome to favor viral protein expression</x:v>
      </x:c>
      <x:c r="S51" s="28" t="str">
        <x:v>Nature Communications</x:v>
      </x:c>
      <x:c r="T51" s="42" t="n">
        <x:v>2026</x:v>
      </x:c>
      <x:c r="U51" s="49" t="n">
        <x:v>18.1</x:v>
      </x:c>
      <x:c r="V51" s="42" t="n">
        <x:v>2025</x:v>
      </x:c>
      <x:c r="W51" s="28" t="str">
        <x:v>https://doi.org/10.1038/s41467-026-69700-w</x:v>
      </x:c>
      <x:c r="X51" s="28" t="str">
        <x:v>https://www.nature.com/ncomms/ncomms/journal-impact</x:v>
      </x:c>
      <x:c r="Y51" s="28" t="str">
        <x:v>https://europepmc.org/articles/PMC13124052</x:v>
      </x:c>
      <x:c r="Z51" s="28" t="str">
        <x:v>https://openalex.org/A5078494744</x:v>
      </x:c>
      <x:c r="AA51" s="28" t="str">
        <x:v>https://orcid.org/0000-0002-9013-0751</x:v>
      </x:c>
      <x:c r="AB51" s="28" t="str">
        <x:v>是</x:v>
      </x:c>
      <x:c r="AC51" s="34" t="str">
        <x:v>建议发送前再用机构官网确认</x:v>
      </x:c>
      <x:c r="AD51" s="37" t="str">
        <x:v>Universitat Pompeu Fabra</x:v>
      </x:c>
    </x:row>
    <x:row r="52">
      <x:c r="A52" s="41" t="n">
        <x:v>48</x:v>
      </x:c>
      <x:c r="B52" s="42" t="str">
        <x:f>IF(Q52&gt;=95,"A-优先联系",IF(Q52&gt;=85,"B-重点关注","C-补充候选"))</x:f>
        <x:v>A-优先联系</x:v>
      </x:c>
      <x:c r="C52" s="28" t="str">
        <x:v>Manel Esteller</x:v>
      </x:c>
      <x:c r="D52" s="28" t="str">
        <x:v>Spain</x:v>
      </x:c>
      <x:c r="E52" s="34" t="str">
        <x:v>Josep Carreras Leukaemia Research Institute</x:v>
      </x:c>
      <x:c r="F52" s="34" t="str">
        <x:v>mesteller@carrerasresearch.org</x:v>
      </x:c>
      <x:c r="G52" s="46" t="str">
        <x:v>较高（近期论文通讯邮箱）</x:v>
      </x:c>
      <x:c r="H52" s="46" t="n">
        <x:v>2026</x:v>
      </x:c>
      <x:c r="I52" s="34" t="str">
        <x:v>Epigenetics, non-coding RNA and cancer</x:v>
      </x:c>
      <x:c r="J52" s="34" t="str">
        <x:v>leukemia and solid cancers</x:v>
      </x:c>
      <x:c r="K52" s="42" t="str">
        <x:v>高</x:v>
      </x:c>
      <x:c r="L52" s="52" t="n">
        <x:v>5</x:v>
      </x:c>
      <x:c r="M52" s="52" t="n">
        <x:v>5</x:v>
      </x:c>
      <x:c r="N52" s="52" t="n">
        <x:v>2</x:v>
      </x:c>
      <x:c r="O52" s="52" t="n">
        <x:v>2</x:v>
      </x:c>
      <x:c r="P52" s="52" t="n">
        <x:f>L52*7+M52*7+N52*10+O52*5</x:f>
        <x:v>100</x:v>
      </x:c>
      <x:c r="Q52" s="52" t="n">
        <x:f>MIN(100,P52+IF(D52="Germany",10,0))</x:f>
        <x:v>100</x:v>
      </x:c>
      <x:c r="R52" s="34" t="str">
        <x:v>Epigenetic inactivation of the 5-methylcytosine RNA methyltransferase NSUN7 is associated with clinical outcome and therapeutic vulnerability in liver cancer</x:v>
      </x:c>
      <x:c r="S52" s="28" t="str">
        <x:v>Molecular Cancer</x:v>
      </x:c>
      <x:c r="T52" s="42" t="n">
        <x:v>2023</x:v>
      </x:c>
      <x:c r="U52" s="49" t="n">
        <x:v>27.7</x:v>
      </x:c>
      <x:c r="V52" s="42" t="n">
        <x:v>2024</x:v>
      </x:c>
      <x:c r="W52" s="28" t="str">
        <x:v>https://doi.org/10.1186/s12943-023-01785-z</x:v>
      </x:c>
      <x:c r="X52" s="28" t="str">
        <x:v>https://molecular-cancer.biomedcentral.com/about</x:v>
      </x:c>
      <x:c r="Y52" s="28" t="str">
        <x:v>https://europepmc.org/articles/PMC13071488</x:v>
      </x:c>
      <x:c r="Z52" s="28" t="str">
        <x:v>https://openalex.org/A5010137759</x:v>
      </x:c>
      <x:c r="AA52" s="28" t="str">
        <x:v>https://orcid.org/0000-0003-4490-6093</x:v>
      </x:c>
      <x:c r="AB52" s="28" t="str">
        <x:v>是</x:v>
      </x:c>
      <x:c r="AC52" s="34" t="str">
        <x:v>建议发送前再用机构官网确认</x:v>
      </x:c>
      <x:c r="AD52" s="37" t="str">
        <x:v>Institució Catalana de Recerca i Estudis Avançats | Hospital de Sant Pau | Josep Carreras Leukaemia Research Institute | Department of Physiological Sciences | Biomedical Research Institute | Centro de Investigación Biomédica en Red de Cáncer | Institut de Recerca Sant Pau | Universitat de Barcelona</x:v>
      </x:c>
    </x:row>
    <x:row r="53">
      <x:c r="A53" s="41" t="n">
        <x:v>49</x:v>
      </x:c>
      <x:c r="B53" s="42" t="str">
        <x:f>IF(Q53&gt;=95,"A-优先联系",IF(Q53&gt;=85,"B-重点关注","C-补充候选"))</x:f>
        <x:v>A-优先联系</x:v>
      </x:c>
      <x:c r="C53" s="28" t="str">
        <x:v>Mara Dierssen</x:v>
      </x:c>
      <x:c r="D53" s="28" t="str">
        <x:v>Spain</x:v>
      </x:c>
      <x:c r="E53" s="34" t="str">
        <x:v>Centre for Genomic Regulation</x:v>
      </x:c>
      <x:c r="F53" s="34" t="str">
        <x:v>Mara.Dierssen@crg.eu</x:v>
      </x:c>
      <x:c r="G53" s="46" t="str">
        <x:v>较高（近期论文通讯邮箱）</x:v>
      </x:c>
      <x:c r="H53" s="46" t="n">
        <x:v>2026</x:v>
      </x:c>
      <x:c r="I53" s="34" t="str">
        <x:v>Neurogenomics and transcriptomics</x:v>
      </x:c>
      <x:c r="J53" s="34" t="str">
        <x:v>Down syndrome and neurodevelopment</x:v>
      </x:c>
      <x:c r="K53" s="42" t="str">
        <x:v>高</x:v>
      </x:c>
      <x:c r="L53" s="52" t="n">
        <x:v>5</x:v>
      </x:c>
      <x:c r="M53" s="52" t="n">
        <x:v>5</x:v>
      </x:c>
      <x:c r="N53" s="52" t="n">
        <x:v>2</x:v>
      </x:c>
      <x:c r="O53" s="52" t="n">
        <x:v>2</x:v>
      </x:c>
      <x:c r="P53" s="52" t="n">
        <x:f>L53*7+M53*7+N53*10+O53*5</x:f>
        <x:v>100</x:v>
      </x:c>
      <x:c r="Q53" s="52" t="n">
        <x:f>MIN(100,P53+IF(D53="Germany",10,0))</x:f>
        <x:v>100</x:v>
      </x:c>
      <x:c r="R53" s="34" t="str">
        <x:v>A highly conserved neuronal microexon in DAAM1 controls actin dynamics, RHOA/ROCK signaling, and memory formation</x:v>
      </x:c>
      <x:c r="S53" s="28" t="str">
        <x:v>Nature Communications</x:v>
      </x:c>
      <x:c r="T53" s="42" t="n">
        <x:v>2025</x:v>
      </x:c>
      <x:c r="U53" s="49" t="n">
        <x:v>18.1</x:v>
      </x:c>
      <x:c r="V53" s="42" t="n">
        <x:v>2025</x:v>
      </x:c>
      <x:c r="W53" s="28" t="str">
        <x:v>https://doi.org/10.1038/s41467-025-59430-w</x:v>
      </x:c>
      <x:c r="X53" s="28" t="str">
        <x:v>https://www.nature.com/ncomms/ncomms/journal-impact</x:v>
      </x:c>
      <x:c r="Y53" s="28" t="str">
        <x:v>https://europepmc.org/articles/PMC13242418</x:v>
      </x:c>
      <x:c r="Z53" s="28" t="str">
        <x:v>https://openalex.org/A5010534544</x:v>
      </x:c>
      <x:c r="AA53" s="28" t="str">
        <x:v>https://orcid.org/0000-0003-0853-6865</x:v>
      </x:c>
      <x:c r="AB53" s="28" t="str">
        <x:v>是</x:v>
      </x:c>
      <x:c r="AC53" s="34" t="str">
        <x:v>代表作标题未直接出现RNA关键词，但研究方向属于RNA范围；建议发送前再用机构官网确认</x:v>
      </x:c>
      <x:c r="AD53" s="37" t="str">
        <x:v>Universitat Pompeu Fabra | Centre for Biomedical Network Research on Rare Diseases | Barcelona Institute of Science and Technology | Centre for Genomic Regulation</x:v>
      </x:c>
    </x:row>
    <x:row r="54">
      <x:c r="A54" s="41" t="n">
        <x:v>50</x:v>
      </x:c>
      <x:c r="B54" s="42" t="str">
        <x:f>IF(Q54&gt;=95,"A-优先联系",IF(Q54&gt;=85,"B-重点关注","C-补充候选"))</x:f>
        <x:v>A-优先联系</x:v>
      </x:c>
      <x:c r="C54" s="28" t="str">
        <x:v>Maria Carmo-Fonseca</x:v>
      </x:c>
      <x:c r="D54" s="28" t="str">
        <x:v>Portugal</x:v>
      </x:c>
      <x:c r="E54" s="34" t="str">
        <x:v>University of Lisbon / iMM</x:v>
      </x:c>
      <x:c r="F54" s="34" t="str">
        <x:v>carmo.fonseca@gimm.pt</x:v>
      </x:c>
      <x:c r="G54" s="46" t="str">
        <x:v>较高（近期论文通讯邮箱）</x:v>
      </x:c>
      <x:c r="H54" s="46" t="n">
        <x:v>2026</x:v>
      </x:c>
      <x:c r="I54" s="34" t="str">
        <x:v>Pre-mRNA splicing and RNA disease mechanisms</x:v>
      </x:c>
      <x:c r="J54" s="34" t="str">
        <x:v>cancer and rare disease</x:v>
      </x:c>
      <x:c r="K54" s="42" t="str">
        <x:v>高</x:v>
      </x:c>
      <x:c r="L54" s="52" t="n">
        <x:v>5</x:v>
      </x:c>
      <x:c r="M54" s="52" t="n">
        <x:v>5</x:v>
      </x:c>
      <x:c r="N54" s="52" t="n">
        <x:v>2</x:v>
      </x:c>
      <x:c r="O54" s="52" t="n">
        <x:v>2</x:v>
      </x:c>
      <x:c r="P54" s="52" t="n">
        <x:f>L54*7+M54*7+N54*10+O54*5</x:f>
        <x:v>100</x:v>
      </x:c>
      <x:c r="Q54" s="52" t="n">
        <x:f>MIN(100,P54+IF(D54="Germany",10,0))</x:f>
        <x:v>100</x:v>
      </x:c>
      <x:c r="R54" s="34" t="str">
        <x:v>Sweet splicing</x:v>
      </x:c>
      <x:c r="S54" s="28" t="str">
        <x:v>Cell</x:v>
      </x:c>
      <x:c r="T54" s="42" t="n">
        <x:v>2023</x:v>
      </x:c>
      <x:c r="U54" s="49" t="n">
        <x:v>42.5</x:v>
      </x:c>
      <x:c r="V54" s="42" t="n">
        <x:v>2024</x:v>
      </x:c>
      <x:c r="W54" s="28" t="str">
        <x:v>https://doi.org/10.1016/j.cell.2022.11.025</x:v>
      </x:c>
      <x:c r="X54" s="28" t="str">
        <x:v>https://www.cell.com/cell/home</x:v>
      </x:c>
      <x:c r="Y54" s="28" t="str">
        <x:v>https://europepmc.org/articles/PMC13254869</x:v>
      </x:c>
      <x:c r="Z54" s="28" t="str">
        <x:v>https://openalex.org/A5083230780</x:v>
      </x:c>
      <x:c r="AA54" s="28" t="str">
        <x:v>https://orcid.org/0000-0002-3402-7143</x:v>
      </x:c>
      <x:c r="AB54" s="28" t="str">
        <x:v>是</x:v>
      </x:c>
      <x:c r="AC54" s="34" t="str">
        <x:v>建议发送前再用机构官网确认</x:v>
      </x:c>
      <x:c r="AD54" s="37" t="str">
        <x:v>University of Lisbon | Instituto Gulbenkian de Ciência</x:v>
      </x:c>
    </x:row>
    <x:row r="55">
      <x:c r="A55" s="41" t="n">
        <x:v>51</x:v>
      </x:c>
      <x:c r="B55" s="42" t="str">
        <x:f>IF(Q55&gt;=95,"A-优先联系",IF(Q55&gt;=85,"B-重点关注","C-补充候选"))</x:f>
        <x:v>A-优先联系</x:v>
      </x:c>
      <x:c r="C55" s="28" t="str">
        <x:v>Maria Paola Paronetto</x:v>
      </x:c>
      <x:c r="D55" s="28" t="str">
        <x:v>Italy</x:v>
      </x:c>
      <x:c r="E55" s="34" t="str">
        <x:v>University of Rome Tor Vergata</x:v>
      </x:c>
      <x:c r="F55" s="34" t="str">
        <x:v>mariapaola.paronetto@uniroma4.it</x:v>
      </x:c>
      <x:c r="G55" s="46" t="str">
        <x:v>较高（近期论文通讯邮箱）</x:v>
      </x:c>
      <x:c r="H55" s="46" t="n">
        <x:v>2026</x:v>
      </x:c>
      <x:c r="I55" s="34" t="str">
        <x:v>Alternative splicing and RNA-binding proteins</x:v>
      </x:c>
      <x:c r="J55" s="34" t="str">
        <x:v>cancer and neurodevelopment</x:v>
      </x:c>
      <x:c r="K55" s="42" t="str">
        <x:v>高</x:v>
      </x:c>
      <x:c r="L55" s="52" t="n">
        <x:v>5</x:v>
      </x:c>
      <x:c r="M55" s="52" t="n">
        <x:v>5</x:v>
      </x:c>
      <x:c r="N55" s="52" t="n">
        <x:v>2</x:v>
      </x:c>
      <x:c r="O55" s="52" t="n">
        <x:v>2</x:v>
      </x:c>
      <x:c r="P55" s="52" t="n">
        <x:f>L55*7+M55*7+N55*10+O55*5</x:f>
        <x:v>100</x:v>
      </x:c>
      <x:c r="Q55" s="52" t="n">
        <x:f>MIN(100,P55+IF(D55="Germany",10,0))</x:f>
        <x:v>100</x:v>
      </x:c>
      <x:c r="R55" s="34" t="str">
        <x:v>SAM68 is a multifunctional post-transcriptional regulator of cardiomyocyte differentiation</x:v>
      </x:c>
      <x:c r="S55" s="28" t="str">
        <x:v>Nucleic Acids Research</x:v>
      </x:c>
      <x:c r="T55" s="42" t="n">
        <x:v>2026</x:v>
      </x:c>
      <x:c r="U55" s="49" t="n">
        <x:v>15</x:v>
      </x:c>
      <x:c r="V55" s="42" t="n">
        <x:v>2025</x:v>
      </x:c>
      <x:c r="W55" s="28" t="str">
        <x:v>https://doi.org/10.1093/nar/gkag547</x:v>
      </x:c>
      <x:c r="X55" s="28" t="str">
        <x:v>https://academic.oup.com/nar/pages/about</x:v>
      </x:c>
      <x:c r="Y55" s="28" t="str">
        <x:v>https://europepmc.org/articles/PMC12839372</x:v>
      </x:c>
      <x:c r="Z55" s="28" t="str">
        <x:v>https://openalex.org/A5082875717</x:v>
      </x:c>
      <x:c r="AA55" s="28" t="str">
        <x:v>https://orcid.org/0000-0001-5324-0903</x:v>
      </x:c>
      <x:c r="AB55" s="28" t="str">
        <x:v>是</x:v>
      </x:c>
      <x:c r="AC55" s="34" t="str">
        <x:v>建议发送前再用机构官网确认</x:v>
      </x:c>
      <x:c r="AD55" s="37" t="str">
        <x:v>Foro Italico University of Rome | Fondazione Santa Lucia | Istituti di Ricovero e Cura a Carattere Scientifico</x:v>
      </x:c>
    </x:row>
    <x:row r="56">
      <x:c r="A56" s="41" t="n">
        <x:v>52</x:v>
      </x:c>
      <x:c r="B56" s="42" t="str">
        <x:f>IF(Q56&gt;=95,"A-优先联系",IF(Q56&gt;=85,"B-重点关注","C-补充候选"))</x:f>
        <x:v>A-优先联系</x:v>
      </x:c>
      <x:c r="C56" s="28" t="str">
        <x:v>Markus Stoffel</x:v>
      </x:c>
      <x:c r="D56" s="28" t="str">
        <x:v>Switzerland</x:v>
      </x:c>
      <x:c r="E56" s="34" t="str">
        <x:v>ETH Zurich</x:v>
      </x:c>
      <x:c r="F56" s="34" t="str">
        <x:v>markus.stoffel@unige.ch</x:v>
      </x:c>
      <x:c r="G56" s="46" t="str">
        <x:v>较高（近期论文通讯邮箱）</x:v>
      </x:c>
      <x:c r="H56" s="46" t="n">
        <x:v>2024</x:v>
      </x:c>
      <x:c r="I56" s="34" t="str">
        <x:v>miRNA and metabolic disease</x:v>
      </x:c>
      <x:c r="J56" s="34" t="str">
        <x:v>diabetes and cardiometabolic disease</x:v>
      </x:c>
      <x:c r="K56" s="42" t="str">
        <x:v>高</x:v>
      </x:c>
      <x:c r="L56" s="52" t="n">
        <x:v>5</x:v>
      </x:c>
      <x:c r="M56" s="52" t="n">
        <x:v>5</x:v>
      </x:c>
      <x:c r="N56" s="52" t="n">
        <x:v>2</x:v>
      </x:c>
      <x:c r="O56" s="52" t="n">
        <x:v>2</x:v>
      </x:c>
      <x:c r="P56" s="52" t="n">
        <x:f>L56*7+M56*7+N56*10+O56*5</x:f>
        <x:v>100</x:v>
      </x:c>
      <x:c r="Q56" s="52" t="n">
        <x:f>MIN(100,P56+IF(D56="Germany",10,0))</x:f>
        <x:v>100</x:v>
      </x:c>
      <x:c r="R56" s="34" t="str">
        <x:v>A supply-limited torrent that does not feel the heat of climate change</x:v>
      </x:c>
      <x:c r="S56" s="28" t="str">
        <x:v>Nature Communications</x:v>
      </x:c>
      <x:c r="T56" s="42" t="n">
        <x:v>2024</x:v>
      </x:c>
      <x:c r="U56" s="49" t="n">
        <x:v>18.1</x:v>
      </x:c>
      <x:c r="V56" s="42" t="n">
        <x:v>2025</x:v>
      </x:c>
      <x:c r="W56" s="28" t="str">
        <x:v>https://doi.org/10.1038/s41467-024-53316-z</x:v>
      </x:c>
      <x:c r="X56" s="28" t="str">
        <x:v>https://www.nature.com/ncomms/ncomms/journal-impact</x:v>
      </x:c>
      <x:c r="Y56" s="28" t="str">
        <x:v>https://europepmc.org/articles/PMC11494198</x:v>
      </x:c>
      <x:c r="Z56" s="28" t="str">
        <x:v>https://openalex.org/A5054037985</x:v>
      </x:c>
      <x:c r="AA56" s="28" t="str">
        <x:v>https://orcid.org/0000-0003-0816-1303</x:v>
      </x:c>
      <x:c r="AB56" s="28" t="str">
        <x:v>是</x:v>
      </x:c>
      <x:c r="AC56" s="34" t="str">
        <x:v>代表作标题未直接出现RNA关键词，但研究方向属于RNA范围；建议发送前再用机构官网确认</x:v>
      </x:c>
      <x:c r="AD56" s="37" t="str">
        <x:v>University of Geneva</x:v>
      </x:c>
    </x:row>
    <x:row r="57">
      <x:c r="A57" s="41" t="n">
        <x:v>53</x:v>
      </x:c>
      <x:c r="B57" s="42" t="str">
        <x:f>IF(Q57&gt;=95,"A-优先联系",IF(Q57&gt;=85,"B-重点关注","C-补充候选"))</x:f>
        <x:v>A-优先联系</x:v>
      </x:c>
      <x:c r="C57" s="28" t="str">
        <x:v>Mauro Giacca</x:v>
      </x:c>
      <x:c r="D57" s="28" t="str">
        <x:v>United Kingdom</x:v>
      </x:c>
      <x:c r="E57" s="34" t="str">
        <x:v>King's College London</x:v>
      </x:c>
      <x:c r="F57" s="34" t="str">
        <x:v>mauro.giacca@kcl.ac.uk</x:v>
      </x:c>
      <x:c r="G57" s="46" t="str">
        <x:v>较高（近期论文通讯邮箱）</x:v>
      </x:c>
      <x:c r="H57" s="46" t="n">
        <x:v>2025</x:v>
      </x:c>
      <x:c r="I57" s="34" t="str">
        <x:v>RNA therapeutics and cardiovascular gene therapy</x:v>
      </x:c>
      <x:c r="J57" s="34" t="str">
        <x:v>cardiovascular disease</x:v>
      </x:c>
      <x:c r="K57" s="42" t="str">
        <x:v>高</x:v>
      </x:c>
      <x:c r="L57" s="52" t="n">
        <x:v>5</x:v>
      </x:c>
      <x:c r="M57" s="52" t="n">
        <x:v>5</x:v>
      </x:c>
      <x:c r="N57" s="52" t="n">
        <x:v>2</x:v>
      </x:c>
      <x:c r="O57" s="52" t="n">
        <x:v>2</x:v>
      </x:c>
      <x:c r="P57" s="52" t="n">
        <x:f>L57*7+M57*7+N57*10+O57*5</x:f>
        <x:v>100</x:v>
      </x:c>
      <x:c r="Q57" s="52" t="n">
        <x:f>MIN(100,P57+IF(D57="Germany",10,0))</x:f>
        <x:v>100</x:v>
      </x:c>
      <x:c r="R57" s="34" t="str">
        <x:v>vPIF-1 is an insulin-like antiferroptotic viral peptide</x:v>
      </x:c>
      <x:c r="S57" s="28" t="str">
        <x:v>Proceedings of the National Academy of Sciences</x:v>
      </x:c>
      <x:c r="T57" s="42" t="n">
        <x:v>2023</x:v>
      </x:c>
      <x:c r="U57" s="49" t="n">
        <x:v>9.4</x:v>
      </x:c>
      <x:c r="V57" s="42" t="n">
        <x:v>2024</x:v>
      </x:c>
      <x:c r="W57" s="28" t="str">
        <x:v>https://doi.org/10.1073/pnas.2300320120</x:v>
      </x:c>
      <x:c r="X57" s="28" t="str">
        <x:v>https://www.pnas.org/about</x:v>
      </x:c>
      <x:c r="Y57" s="28" t="str">
        <x:v>https://europepmc.org/articles/PMC12650369</x:v>
      </x:c>
      <x:c r="Z57" s="28" t="str">
        <x:v>https://openalex.org/A5038230299</x:v>
      </x:c>
      <x:c r="AA57" s="28" t="str">
        <x:v>https://orcid.org/0000-0003-2927-7225</x:v>
      </x:c>
      <x:c r="AB57" s="28" t="str">
        <x:v>是</x:v>
      </x:c>
      <x:c r="AC57" s="34" t="str">
        <x:v>建议发送前再用机构官网确认</x:v>
      </x:c>
      <x:c r="AD57" s="37" t="str">
        <x:v>University of Trieste | King's College London | British Heart Foundation | International Centre for Genetic Engineering and Biotechnology</x:v>
      </x:c>
    </x:row>
    <x:row r="58">
      <x:c r="A58" s="41" t="n">
        <x:v>54</x:v>
      </x:c>
      <x:c r="B58" s="42" t="str">
        <x:f>IF(Q58&gt;=95,"A-优先联系",IF(Q58&gt;=85,"B-重点关注","C-补充候选"))</x:f>
        <x:v>A-优先联系</x:v>
      </x:c>
      <x:c r="C58" s="28" t="str">
        <x:v>Monique Nijhuis</x:v>
      </x:c>
      <x:c r="D58" s="28" t="str">
        <x:v>Netherlands</x:v>
      </x:c>
      <x:c r="E58" s="34" t="str">
        <x:v>University Medical Center Utrecht</x:v>
      </x:c>
      <x:c r="F58" s="34" t="str">
        <x:v>m.nijhuis@umcutrecht.nl</x:v>
      </x:c>
      <x:c r="G58" s="46" t="str">
        <x:v>较高（近期论文通讯邮箱）</x:v>
      </x:c>
      <x:c r="H58" s="46" t="n">
        <x:v>2025</x:v>
      </x:c>
      <x:c r="I58" s="34" t="str">
        <x:v>Viral genomics and RNA virus resistance</x:v>
      </x:c>
      <x:c r="J58" s="34" t="str">
        <x:v>HIV and viral infection</x:v>
      </x:c>
      <x:c r="K58" s="42" t="str">
        <x:v>高</x:v>
      </x:c>
      <x:c r="L58" s="52" t="n">
        <x:v>5</x:v>
      </x:c>
      <x:c r="M58" s="52" t="n">
        <x:v>5</x:v>
      </x:c>
      <x:c r="N58" s="52" t="n">
        <x:v>2</x:v>
      </x:c>
      <x:c r="O58" s="52" t="n">
        <x:v>2</x:v>
      </x:c>
      <x:c r="P58" s="52" t="n">
        <x:f>L58*7+M58*7+N58*10+O58*5</x:f>
        <x:v>100</x:v>
      </x:c>
      <x:c r="Q58" s="52" t="n">
        <x:f>MIN(100,P58+IF(D58="Germany",10,0))</x:f>
        <x:v>100</x:v>
      </x:c>
      <x:c r="R58" s="34" t="str">
        <x:v>HIV-specific CD8+ T-cell proliferative response 24 weeks after early antiretroviral therapy initiation is associated with the subsequent reduction in the viral reservoir</x:v>
      </x:c>
      <x:c r="S58" s="28" t="str">
        <x:v>eLife</x:v>
      </x:c>
      <x:c r="T58" s="42" t="n">
        <x:v>2026</x:v>
      </x:c>
      <x:c r="U58" s="49" t="n">
        <x:v>6.4</x:v>
      </x:c>
      <x:c r="V58" s="42" t="n">
        <x:v>2023</x:v>
      </x:c>
      <x:c r="W58" s="28" t="str">
        <x:v>https://doi.org/10.7554/elife.106402.3</x:v>
      </x:c>
      <x:c r="X58" s="28" t="str">
        <x:v>https://elifesciences.org/about</x:v>
      </x:c>
      <x:c r="Y58" s="28" t="str">
        <x:v>https://europepmc.org/articles/PMC12077340</x:v>
      </x:c>
      <x:c r="Z58" s="28" t="str">
        <x:v>https://openalex.org/A5002497082</x:v>
      </x:c>
      <x:c r="AA58" s="28" t="str">
        <x:v>https://orcid.org/0000-0001-6610-8282</x:v>
      </x:c>
      <x:c r="AB58" s="28" t="str">
        <x:v>是</x:v>
      </x:c>
      <x:c r="AC58" s="34" t="str">
        <x:v>建议发送前再用机构官网确认</x:v>
      </x:c>
      <x:c r="AD58" s="37" t="str">
        <x:v>University Medical Center Utrecht | Amsterdam University Medical Centers | University of Amsterdam</x:v>
      </x:c>
    </x:row>
    <x:row r="59">
      <x:c r="A59" s="41" t="n">
        <x:v>55</x:v>
      </x:c>
      <x:c r="B59" s="42" t="str">
        <x:f>IF(Q59&gt;=95,"A-优先联系",IF(Q59&gt;=85,"B-重点关注","C-补充候选"))</x:f>
        <x:v>A-优先联系</x:v>
      </x:c>
      <x:c r="C59" s="28" t="str">
        <x:v>Nuno Barbosa-Morais</x:v>
      </x:c>
      <x:c r="D59" s="28" t="str">
        <x:v>Portugal</x:v>
      </x:c>
      <x:c r="E59" s="34" t="str">
        <x:v>University of Lisbon / iMM</x:v>
      </x:c>
      <x:c r="F59" s="34" t="str">
        <x:v>nmorais@fm.ul.pt</x:v>
      </x:c>
      <x:c r="G59" s="46" t="str">
        <x:v>较高（近期论文通讯邮箱）</x:v>
      </x:c>
      <x:c r="H59" s="46" t="n">
        <x:v>2024</x:v>
      </x:c>
      <x:c r="I59" s="34" t="str">
        <x:v>Alternative splicing and cancer transcriptomics</x:v>
      </x:c>
      <x:c r="J59" s="34" t="str">
        <x:v>cancer</x:v>
      </x:c>
      <x:c r="K59" s="42" t="str">
        <x:v>高</x:v>
      </x:c>
      <x:c r="L59" s="52" t="n">
        <x:v>5</x:v>
      </x:c>
      <x:c r="M59" s="52" t="n">
        <x:v>5</x:v>
      </x:c>
      <x:c r="N59" s="52" t="n">
        <x:v>2</x:v>
      </x:c>
      <x:c r="O59" s="52" t="n">
        <x:v>2</x:v>
      </x:c>
      <x:c r="P59" s="52" t="n">
        <x:f>L59*7+M59*7+N59*10+O59*5</x:f>
        <x:v>100</x:v>
      </x:c>
      <x:c r="Q59" s="52" t="n">
        <x:f>MIN(100,P59+IF(D59="Germany",10,0))</x:f>
        <x:v>100</x:v>
      </x:c>
      <x:c r="R59" s="34" t="str">
        <x:v>Spliceosome induction is a druggable dependency of RAS-driven senescence and cancer</x:v>
      </x:c>
      <x:c r="S59" s="28" t="str">
        <x:v>Nature Communications</x:v>
      </x:c>
      <x:c r="T59" s="42" t="n">
        <x:v>2026</x:v>
      </x:c>
      <x:c r="U59" s="49" t="n">
        <x:v>18.1</x:v>
      </x:c>
      <x:c r="V59" s="42" t="n">
        <x:v>2025</x:v>
      </x:c>
      <x:c r="W59" s="28" t="str">
        <x:v>https://doi.org/10.1038/s41467-026-71564-z</x:v>
      </x:c>
      <x:c r="X59" s="28" t="str">
        <x:v>https://www.nature.com/ncomms/ncomms/journal-impact</x:v>
      </x:c>
      <x:c r="Y59" s="28" t="str">
        <x:v>https://europepmc.org/articles/PMC10977969</x:v>
      </x:c>
      <x:c r="Z59" s="28" t="str">
        <x:v>https://openalex.org/A5006220828</x:v>
      </x:c>
      <x:c r="AA59" s="28" t="str">
        <x:v>https://orcid.org/0000-0002-1215-0538</x:v>
      </x:c>
      <x:c r="AB59" s="28" t="str">
        <x:v>是</x:v>
      </x:c>
      <x:c r="AC59" s="34" t="str">
        <x:v>建议发送前再用机构官网确认</x:v>
      </x:c>
      <x:c r="AD59" s="37" t="str">
        <x:v>University of Lisbon | Instituto Gulbenkian de Ciência | Universidade Nova de Lisboa</x:v>
      </x:c>
    </x:row>
    <x:row r="60">
      <x:c r="A60" s="41" t="n">
        <x:v>56</x:v>
      </x:c>
      <x:c r="B60" s="42" t="str">
        <x:f>IF(Q60&gt;=95,"A-优先联系",IF(Q60&gt;=85,"B-重点关注","C-补充候选"))</x:f>
        <x:v>A-优先联系</x:v>
      </x:c>
      <x:c r="C60" s="28" t="str">
        <x:v>Olli Kallioniemi</x:v>
      </x:c>
      <x:c r="D60" s="28" t="str">
        <x:v>Finland</x:v>
      </x:c>
      <x:c r="E60" s="34" t="str">
        <x:v>University of Helsinki / FIMM</x:v>
      </x:c>
      <x:c r="F60" s="34" t="str">
        <x:v>olli.kallioniemi@helsinki.fi</x:v>
      </x:c>
      <x:c r="G60" s="46" t="str">
        <x:v>较高（近期论文通讯邮箱）</x:v>
      </x:c>
      <x:c r="H60" s="46" t="n">
        <x:v>2025</x:v>
      </x:c>
      <x:c r="I60" s="34" t="str">
        <x:v>Functional precision medicine and cancer transcriptomics</x:v>
      </x:c>
      <x:c r="J60" s="34" t="str">
        <x:v>hematologic and solid cancers</x:v>
      </x:c>
      <x:c r="K60" s="42" t="str">
        <x:v>高</x:v>
      </x:c>
      <x:c r="L60" s="52" t="n">
        <x:v>5</x:v>
      </x:c>
      <x:c r="M60" s="52" t="n">
        <x:v>5</x:v>
      </x:c>
      <x:c r="N60" s="52" t="n">
        <x:v>2</x:v>
      </x:c>
      <x:c r="O60" s="52" t="n">
        <x:v>2</x:v>
      </x:c>
      <x:c r="P60" s="52" t="n">
        <x:f>L60*7+M60*7+N60*10+O60*5</x:f>
        <x:v>100</x:v>
      </x:c>
      <x:c r="Q60" s="52" t="n">
        <x:f>MIN(100,P60+IF(D60="Germany",10,0))</x:f>
        <x:v>100</x:v>
      </x:c>
      <x:c r="R60" s="34" t="str">
        <x:v>Abstract 792: A standardized pan-cancer framework for spatial profiling of the tumor microenvironment using multiplex immunofluorescence.</x:v>
      </x:c>
      <x:c r="S60" s="28" t="str">
        <x:v>Cancer Research</x:v>
      </x:c>
      <x:c r="T60" s="42" t="n">
        <x:v>2026</x:v>
      </x:c>
      <x:c r="U60" s="49" t="n">
        <x:v>12.5</x:v>
      </x:c>
      <x:c r="V60" s="42" t="n">
        <x:v>2024</x:v>
      </x:c>
      <x:c r="W60" s="28" t="str">
        <x:v>https://doi.org/10.1158/1538-7445.am2026-792</x:v>
      </x:c>
      <x:c r="X60" s="28" t="str">
        <x:v>https://aacrjournals.org/cancerres/pages/about</x:v>
      </x:c>
      <x:c r="Y60" s="28" t="str">
        <x:v>https://europepmc.org/articles/PMC12592484</x:v>
      </x:c>
      <x:c r="Z60" s="28" t="str">
        <x:v>https://openalex.org/A5050670008</x:v>
      </x:c>
      <x:c r="AA60" s="28" t="str">
        <x:v>https://orcid.org/0000-0002-3231-0332</x:v>
      </x:c>
      <x:c r="AB60" s="28" t="str">
        <x:v>是</x:v>
      </x:c>
      <x:c r="AC60" s="34" t="str">
        <x:v>建议发送前再用机构官网确认</x:v>
      </x:c>
      <x:c r="AD60" s="37" t="str">
        <x:v>University of Helsinki | Science for Life Laboratory | Helsinki University Hospital | Karolinska Institutet | Finland University | Institute for Molecular Medicine Finland</x:v>
      </x:c>
    </x:row>
    <x:row r="61">
      <x:c r="A61" s="41" t="n">
        <x:v>57</x:v>
      </x:c>
      <x:c r="B61" s="42" t="str">
        <x:f>IF(Q61&gt;=95,"A-优先联系",IF(Q61&gt;=85,"B-重点关注","C-补充候选"))</x:f>
        <x:v>A-优先联系</x:v>
      </x:c>
      <x:c r="C61" s="28" t="str">
        <x:v>Orla Sheils</x:v>
      </x:c>
      <x:c r="D61" s="28" t="str">
        <x:v>Ireland</x:v>
      </x:c>
      <x:c r="E61" s="34" t="str">
        <x:v>Trinity College Dublin</x:v>
      </x:c>
      <x:c r="F61" s="34" t="str">
        <x:v>OSHEILS@tcd.ie</x:v>
      </x:c>
      <x:c r="G61" s="46" t="str">
        <x:v>较高（近期论文通讯邮箱）</x:v>
      </x:c>
      <x:c r="H61" s="46" t="n">
        <x:v>2025</x:v>
      </x:c>
      <x:c r="I61" s="34" t="str">
        <x:v>Molecular pathology, RNA diagnostics and cancer</x:v>
      </x:c>
      <x:c r="J61" s="34" t="str">
        <x:v>thyroid and molecular diagnostics</x:v>
      </x:c>
      <x:c r="K61" s="42" t="str">
        <x:v>高</x:v>
      </x:c>
      <x:c r="L61" s="52" t="n">
        <x:v>5</x:v>
      </x:c>
      <x:c r="M61" s="52" t="n">
        <x:v>5</x:v>
      </x:c>
      <x:c r="N61" s="52" t="n">
        <x:v>2</x:v>
      </x:c>
      <x:c r="O61" s="52" t="n">
        <x:v>2</x:v>
      </x:c>
      <x:c r="P61" s="52" t="n">
        <x:f>L61*7+M61*7+N61*10+O61*5</x:f>
        <x:v>100</x:v>
      </x:c>
      <x:c r="Q61" s="52" t="n">
        <x:f>MIN(100,P61+IF(D61="Germany",10,0))</x:f>
        <x:v>100</x:v>
      </x:c>
      <x:c r="R61" s="34" t="str">
        <x:v>Prevalence of Mismatch Repair Deficiency in Primary Prostate Cancer in a Large Prospective Cohort</x:v>
      </x:c>
      <x:c r="S61" s="28" t="str">
        <x:v>Clinical Cancer Research</x:v>
      </x:c>
      <x:c r="T61" s="42" t="n">
        <x:v>2025</x:v>
      </x:c>
      <x:c r="U61" s="49" t="n">
        <x:v>10</x:v>
      </x:c>
      <x:c r="V61" s="42" t="n">
        <x:v>2024</x:v>
      </x:c>
      <x:c r="W61" s="28" t="str">
        <x:v>https://doi.org/10.1158/1078-0432.ccr-24-1210</x:v>
      </x:c>
      <x:c r="X61" s="28" t="str">
        <x:v>https://aacrjournals.org/clincancerres/pages/about</x:v>
      </x:c>
      <x:c r="Y61" s="28" t="str">
        <x:v>https://europepmc.org/articles/PMC12591961</x:v>
      </x:c>
      <x:c r="Z61" s="28" t="str">
        <x:v>https://openalex.org/A5009176963</x:v>
      </x:c>
      <x:c r="AA61" s="28" t="str">
        <x:v>https://orcid.org/0000-0002-4493-9496</x:v>
      </x:c>
      <x:c r="AB61" s="28" t="str">
        <x:v>是</x:v>
      </x:c>
      <x:c r="AC61" s="34" t="str">
        <x:v>代表作标题未直接出现RNA关键词，但研究方向属于RNA范围；建议发送前再用机构官网确认</x:v>
      </x:c>
      <x:c r="AD61" s="37" t="str">
        <x:v>Trinity College | Trinity College Dublin | St. James's Hospital</x:v>
      </x:c>
    </x:row>
    <x:row r="62">
      <x:c r="A62" s="41" t="n">
        <x:v>58</x:v>
      </x:c>
      <x:c r="B62" s="42" t="str">
        <x:f>IF(Q62&gt;=95,"A-优先联系",IF(Q62&gt;=85,"B-重点关注","C-补充候选"))</x:f>
        <x:v>A-优先联系</x:v>
      </x:c>
      <x:c r="C62" s="28" t="str">
        <x:v>Paul Clarke</x:v>
      </x:c>
      <x:c r="D62" s="28" t="str">
        <x:v>United Kingdom</x:v>
      </x:c>
      <x:c r="E62" s="34" t="str">
        <x:v>Institute of Cancer Research</x:v>
      </x:c>
      <x:c r="F62" s="34" t="str">
        <x:v>paul.clarke@uia.no</x:v>
      </x:c>
      <x:c r="G62" s="46" t="str">
        <x:v>较高（近期论文通讯邮箱）</x:v>
      </x:c>
      <x:c r="H62" s="46" t="n">
        <x:v>2026</x:v>
      </x:c>
      <x:c r="I62" s="34" t="str">
        <x:v>RNA-binding proteins and molecular therapeutics</x:v>
      </x:c>
      <x:c r="J62" s="34" t="str">
        <x:v>cancer drug discovery</x:v>
      </x:c>
      <x:c r="K62" s="42" t="str">
        <x:v>高</x:v>
      </x:c>
      <x:c r="L62" s="52" t="n">
        <x:v>5</x:v>
      </x:c>
      <x:c r="M62" s="52" t="n">
        <x:v>5</x:v>
      </x:c>
      <x:c r="N62" s="52" t="n">
        <x:v>2</x:v>
      </x:c>
      <x:c r="O62" s="52" t="n">
        <x:v>2</x:v>
      </x:c>
      <x:c r="P62" s="52" t="n">
        <x:f>L62*7+M62*7+N62*10+O62*5</x:f>
        <x:v>100</x:v>
      </x:c>
      <x:c r="Q62" s="52" t="n">
        <x:f>MIN(100,P62+IF(D62="Germany",10,0))</x:f>
        <x:v>100</x:v>
      </x:c>
      <x:c r="R62" s="34" t="str">
        <x:v>Impact of early life antibiotic and probiotic treatment on gut microbiome and resistome of very-low-birth-weight preterm infants</x:v>
      </x:c>
      <x:c r="S62" s="28" t="str">
        <x:v>Nature Communications</x:v>
      </x:c>
      <x:c r="T62" s="42" t="n">
        <x:v>2025</x:v>
      </x:c>
      <x:c r="U62" s="49" t="n">
        <x:v>18.1</x:v>
      </x:c>
      <x:c r="V62" s="42" t="n">
        <x:v>2025</x:v>
      </x:c>
      <x:c r="W62" s="28" t="str">
        <x:v>https://doi.org/10.1038/s41467-025-62584-2</x:v>
      </x:c>
      <x:c r="X62" s="28" t="str">
        <x:v>https://www.nature.com/ncomms/ncomms/journal-impact</x:v>
      </x:c>
      <x:c r="Y62" s="28" t="str">
        <x:v>https://europepmc.org/articles/PMC13250913</x:v>
      </x:c>
      <x:c r="Z62" s="28" t="str">
        <x:v>https://openalex.org/A5037967437</x:v>
      </x:c>
      <x:c r="AA62" s="28" t="str">
        <x:v>https://orcid.org/0000-0001-6203-7632</x:v>
      </x:c>
      <x:c r="AB62" s="28" t="str">
        <x:v>是</x:v>
      </x:c>
      <x:c r="AC62" s="34" t="str">
        <x:v>代表作标题未直接出现RNA关键词，但研究方向属于RNA范围；建议发送前再用机构官网确认</x:v>
      </x:c>
      <x:c r="AD62" s="37" t="str">
        <x:v>University of East Anglia | Norfolk and Norwich University Hospitals NHS Foundation Trust | Institute for Social and Economic Research</x:v>
      </x:c>
    </x:row>
    <x:row r="63">
      <x:c r="A63" s="41" t="n">
        <x:v>59</x:v>
      </x:c>
      <x:c r="B63" s="42" t="str">
        <x:f>IF(Q63&gt;=95,"A-优先联系",IF(Q63&gt;=85,"B-重点关注","C-补充候选"))</x:f>
        <x:v>A-优先联系</x:v>
      </x:c>
      <x:c r="C63" s="28" t="str">
        <x:v>Peter-Bram 't Hoen</x:v>
      </x:c>
      <x:c r="D63" s="28" t="str">
        <x:v>Netherlands</x:v>
      </x:c>
      <x:c r="E63" s="34" t="str">
        <x:v>Radboud University Medical Center</x:v>
      </x:c>
      <x:c r="F63" s="34" t="str">
        <x:v>peter-bram.thoen@radboudumc.nl</x:v>
      </x:c>
      <x:c r="G63" s="46" t="str">
        <x:v>较高（近期论文通讯邮箱）</x:v>
      </x:c>
      <x:c r="H63" s="46" t="n">
        <x:v>2026</x:v>
      </x:c>
      <x:c r="I63" s="34" t="str">
        <x:v>Transcriptomics, extracellular RNA and biomarkers</x:v>
      </x:c>
      <x:c r="J63" s="34" t="str">
        <x:v>neuromuscular and complex disease</x:v>
      </x:c>
      <x:c r="K63" s="42" t="str">
        <x:v>高</x:v>
      </x:c>
      <x:c r="L63" s="52" t="n">
        <x:v>5</x:v>
      </x:c>
      <x:c r="M63" s="52" t="n">
        <x:v>5</x:v>
      </x:c>
      <x:c r="N63" s="52" t="n">
        <x:v>2</x:v>
      </x:c>
      <x:c r="O63" s="52" t="n">
        <x:v>2</x:v>
      </x:c>
      <x:c r="P63" s="52" t="n">
        <x:f>L63*7+M63*7+N63*10+O63*5</x:f>
        <x:v>100</x:v>
      </x:c>
      <x:c r="Q63" s="52" t="n">
        <x:f>MIN(100,P63+IF(D63="Germany",10,0))</x:f>
        <x:v>100</x:v>
      </x:c>
      <x:c r="R63" s="34" t="str">
        <x:v>Author Correction: The Solve-RD Solvathons as a pan-European interdisciplinary collaboration to diagnose patients with rare disease</x:v>
      </x:c>
      <x:c r="S63" s="28" t="str">
        <x:v>Nature Genetics</x:v>
      </x:c>
      <x:c r="T63" s="42" t="n">
        <x:v>2026</x:v>
      </x:c>
      <x:c r="U63" s="49" t="n">
        <x:v>29</x:v>
      </x:c>
      <x:c r="V63" s="42" t="n">
        <x:v>2024</x:v>
      </x:c>
      <x:c r="W63" s="28" t="str">
        <x:v>https://doi.org/10.1038/s41588-025-02500-y</x:v>
      </x:c>
      <x:c r="X63" s="28" t="str">
        <x:v>https://www.nature.com/ng/journal-impact</x:v>
      </x:c>
      <x:c r="Y63" s="28" t="str">
        <x:v>https://europepmc.org/articles/PMC13171177</x:v>
      </x:c>
      <x:c r="Z63" s="28" t="str">
        <x:v>https://openalex.org/A5122796487</x:v>
      </x:c>
      <x:c r="AA63" s="28" t="str"/>
      <x:c r="AB63" s="28" t="str">
        <x:v>是</x:v>
      </x:c>
      <x:c r="AC63" s="34" t="str">
        <x:v>代表作标题未直接出现RNA关键词，但研究方向属于RNA范围；建议发送前再用机构官网确认</x:v>
      </x:c>
      <x:c r="AD63" s="37" t="str">
        <x:v>Radboud University Nijmegen | Radboud University Medical Center | Radboud Institute for Molecular Life Sciences</x:v>
      </x:c>
    </x:row>
    <x:row r="64">
      <x:c r="A64" s="41" t="n">
        <x:v>60</x:v>
      </x:c>
      <x:c r="B64" s="42" t="str">
        <x:f>IF(Q64&gt;=95,"A-优先联系",IF(Q64&gt;=85,"B-重点关注","C-补充候选"))</x:f>
        <x:v>A-优先联系</x:v>
      </x:c>
      <x:c r="C64" s="28" t="str">
        <x:v>Pieter Mestdagh</x:v>
      </x:c>
      <x:c r="D64" s="28" t="str">
        <x:v>Belgium</x:v>
      </x:c>
      <x:c r="E64" s="34" t="str">
        <x:v>Ghent University</x:v>
      </x:c>
      <x:c r="F64" s="34" t="str">
        <x:v>pieter.mestdagh@ugent.be</x:v>
      </x:c>
      <x:c r="G64" s="46" t="str">
        <x:v>较高（近期论文通讯邮箱）</x:v>
      </x:c>
      <x:c r="H64" s="46" t="n">
        <x:v>2026</x:v>
      </x:c>
      <x:c r="I64" s="34" t="str">
        <x:v>Non-coding RNA and liquid-biopsy biomarkers</x:v>
      </x:c>
      <x:c r="J64" s="34" t="str">
        <x:v>pediatric and solid cancers</x:v>
      </x:c>
      <x:c r="K64" s="42" t="str">
        <x:v>高</x:v>
      </x:c>
      <x:c r="L64" s="52" t="n">
        <x:v>5</x:v>
      </x:c>
      <x:c r="M64" s="52" t="n">
        <x:v>5</x:v>
      </x:c>
      <x:c r="N64" s="52" t="n">
        <x:v>2</x:v>
      </x:c>
      <x:c r="O64" s="52" t="n">
        <x:v>2</x:v>
      </x:c>
      <x:c r="P64" s="52" t="n">
        <x:f>L64*7+M64*7+N64*10+O64*5</x:f>
        <x:v>100</x:v>
      </x:c>
      <x:c r="Q64" s="52" t="n">
        <x:f>MIN(100,P64+IF(D64="Germany",10,0))</x:f>
        <x:v>100</x:v>
      </x:c>
      <x:c r="R64" s="34" t="str">
        <x:v>Blood collection tube and RNA purification method recommendations for extracellular RNA transcriptome profiling</x:v>
      </x:c>
      <x:c r="S64" s="28" t="str">
        <x:v>Nature Communications</x:v>
      </x:c>
      <x:c r="T64" s="42" t="n">
        <x:v>2025</x:v>
      </x:c>
      <x:c r="U64" s="49" t="n">
        <x:v>18.1</x:v>
      </x:c>
      <x:c r="V64" s="42" t="n">
        <x:v>2025</x:v>
      </x:c>
      <x:c r="W64" s="28" t="str">
        <x:v>https://doi.org/10.1038/s41467-025-58607-7</x:v>
      </x:c>
      <x:c r="X64" s="28" t="str">
        <x:v>https://www.nature.com/ncomms/ncomms/journal-impact</x:v>
      </x:c>
      <x:c r="Y64" s="28" t="str">
        <x:v>https://europepmc.org/articles/PMC13096516</x:v>
      </x:c>
      <x:c r="Z64" s="28" t="str">
        <x:v>https://openalex.org/A5058438834</x:v>
      </x:c>
      <x:c r="AA64" s="28" t="str">
        <x:v>https://orcid.org/0000-0001-7821-9684</x:v>
      </x:c>
      <x:c r="AB64" s="28" t="str">
        <x:v>是</x:v>
      </x:c>
      <x:c r="AC64" s="34" t="str">
        <x:v>建议发送前再用机构官网确认</x:v>
      </x:c>
      <x:c r="AD64" s="37" t="str">
        <x:v>Ghent University Hospital | Ghent University | Cancer Research Institute Ghent | Province of Antwerp</x:v>
      </x:c>
    </x:row>
    <x:row r="65">
      <x:c r="A65" s="41" t="n">
        <x:v>61</x:v>
      </x:c>
      <x:c r="B65" s="42" t="str">
        <x:f>IF(Q65&gt;=95,"A-优先联系",IF(Q65&gt;=85,"B-重点关注","C-补充候选"))</x:f>
        <x:v>A-优先联系</x:v>
      </x:c>
      <x:c r="C65" s="28" t="str">
        <x:v>Reuven Agami</x:v>
      </x:c>
      <x:c r="D65" s="28" t="str">
        <x:v>Netherlands</x:v>
      </x:c>
      <x:c r="E65" s="34" t="str">
        <x:v>Netherlands Cancer Institute</x:v>
      </x:c>
      <x:c r="F65" s="34" t="str">
        <x:v>r.agami@nki.nl</x:v>
      </x:c>
      <x:c r="G65" s="46" t="str">
        <x:v>较高（近期论文通讯邮箱）</x:v>
      </x:c>
      <x:c r="H65" s="46" t="n">
        <x:v>2025</x:v>
      </x:c>
      <x:c r="I65" s="34" t="str">
        <x:v>Non-coding RNA and gene regulation in cancer</x:v>
      </x:c>
      <x:c r="J65" s="34" t="str">
        <x:v>cancer</x:v>
      </x:c>
      <x:c r="K65" s="42" t="str">
        <x:v>高</x:v>
      </x:c>
      <x:c r="L65" s="52" t="n">
        <x:v>5</x:v>
      </x:c>
      <x:c r="M65" s="52" t="n">
        <x:v>5</x:v>
      </x:c>
      <x:c r="N65" s="52" t="n">
        <x:v>2</x:v>
      </x:c>
      <x:c r="O65" s="52" t="n">
        <x:v>2</x:v>
      </x:c>
      <x:c r="P65" s="52" t="n">
        <x:f>L65*7+M65*7+N65*10+O65*5</x:f>
        <x:v>100</x:v>
      </x:c>
      <x:c r="Q65" s="52" t="n">
        <x:f>MIN(100,P65+IF(D65="Germany",10,0))</x:f>
        <x:v>100</x:v>
      </x:c>
      <x:c r="R65" s="34" t="str">
        <x:v>Arginine Deprivation of ASS1-Deficient Cancers Drives Mistranslation and Shared Neoepitope Production</x:v>
      </x:c>
      <x:c r="S65" s="28" t="str">
        <x:v>Cancer Research</x:v>
      </x:c>
      <x:c r="T65" s="42" t="n">
        <x:v>2026</x:v>
      </x:c>
      <x:c r="U65" s="49" t="n">
        <x:v>12.5</x:v>
      </x:c>
      <x:c r="V65" s="42" t="n">
        <x:v>2024</x:v>
      </x:c>
      <x:c r="W65" s="28" t="str">
        <x:v>https://doi.org/10.1158/0008-5472.can-25-4773</x:v>
      </x:c>
      <x:c r="X65" s="28" t="str">
        <x:v>https://aacrjournals.org/cancerres/pages/about</x:v>
      </x:c>
      <x:c r="Y65" s="28" t="str">
        <x:v>https://europepmc.org/articles/PMC12582020</x:v>
      </x:c>
      <x:c r="Z65" s="28" t="str">
        <x:v>https://openalex.org/A5079323488</x:v>
      </x:c>
      <x:c r="AA65" s="28" t="str">
        <x:v>https://orcid.org/0000-0002-2848-2473</x:v>
      </x:c>
      <x:c r="AB65" s="28" t="str">
        <x:v>是</x:v>
      </x:c>
      <x:c r="AC65" s="34" t="str">
        <x:v>建议发送前再用机构官网确认</x:v>
      </x:c>
      <x:c r="AD65" s="37" t="str">
        <x:v>The Netherlands Cancer Institute | Oncode Institute | Rotterdam University of Applied Sciences | Erasmus University Rotterdam</x:v>
      </x:c>
    </x:row>
    <x:row r="66">
      <x:c r="A66" s="41" t="n">
        <x:v>62</x:v>
      </x:c>
      <x:c r="B66" s="42" t="str">
        <x:f>IF(Q66&gt;=95,"A-优先联系",IF(Q66&gt;=85,"B-重点关注","C-补充候选"))</x:f>
        <x:v>A-优先联系</x:v>
      </x:c>
      <x:c r="C66" s="28" t="str">
        <x:v>Rickard Sandberg</x:v>
      </x:c>
      <x:c r="D66" s="28" t="str">
        <x:v>Sweden</x:v>
      </x:c>
      <x:c r="E66" s="34" t="str">
        <x:v>Karolinska Institutet</x:v>
      </x:c>
      <x:c r="F66" s="34" t="str">
        <x:v>Rickard.Sandberg@ki.se</x:v>
      </x:c>
      <x:c r="G66" s="46" t="str">
        <x:v>较高（近期论文通讯邮箱）</x:v>
      </x:c>
      <x:c r="H66" s="46" t="n">
        <x:v>2025</x:v>
      </x:c>
      <x:c r="I66" s="34" t="str">
        <x:v>Single-cell RNA sequencing and isoform biology</x:v>
      </x:c>
      <x:c r="J66" s="34" t="str">
        <x:v>cancer and immune disease</x:v>
      </x:c>
      <x:c r="K66" s="42" t="str">
        <x:v>高</x:v>
      </x:c>
      <x:c r="L66" s="52" t="n">
        <x:v>5</x:v>
      </x:c>
      <x:c r="M66" s="52" t="n">
        <x:v>5</x:v>
      </x:c>
      <x:c r="N66" s="52" t="n">
        <x:v>2</x:v>
      </x:c>
      <x:c r="O66" s="52" t="n">
        <x:v>2</x:v>
      </x:c>
      <x:c r="P66" s="52" t="n">
        <x:f>L66*7+M66*7+N66*10+O66*5</x:f>
        <x:v>100</x:v>
      </x:c>
      <x:c r="Q66" s="52" t="n">
        <x:f>MIN(100,P66+IF(D66="Germany",10,0))</x:f>
        <x:v>100</x:v>
      </x:c>
      <x:c r="R66" s="34" t="str">
        <x:v>Single-cell mRNA-regulation analysis reveals cell type-specific mechanisms of type 2 diabetes</x:v>
      </x:c>
      <x:c r="S66" s="28" t="str">
        <x:v>Nature Communications</x:v>
      </x:c>
      <x:c r="T66" s="42" t="n">
        <x:v>2025</x:v>
      </x:c>
      <x:c r="U66" s="49" t="n">
        <x:v>18.1</x:v>
      </x:c>
      <x:c r="V66" s="42" t="n">
        <x:v>2025</x:v>
      </x:c>
      <x:c r="W66" s="28" t="str">
        <x:v>https://doi.org/10.1038/s41467-025-65060-z</x:v>
      </x:c>
      <x:c r="X66" s="28" t="str">
        <x:v>https://www.nature.com/ncomms/ncomms/journal-impact</x:v>
      </x:c>
      <x:c r="Y66" s="28" t="str">
        <x:v>https://europepmc.org/articles/PMC12274403</x:v>
      </x:c>
      <x:c r="Z66" s="28" t="str">
        <x:v>https://openalex.org/A5077749659</x:v>
      </x:c>
      <x:c r="AA66" s="28" t="str">
        <x:v>https://orcid.org/0000-0001-6473-1740</x:v>
      </x:c>
      <x:c r="AB66" s="28" t="str">
        <x:v>是</x:v>
      </x:c>
      <x:c r="AC66" s="34" t="str">
        <x:v>建议发送前再用机构官网确认</x:v>
      </x:c>
      <x:c r="AD66" s="37" t="str">
        <x:v>Sandvik (Sweden) | Karolinska Institutet</x:v>
      </x:c>
    </x:row>
    <x:row r="67">
      <x:c r="A67" s="41" t="n">
        <x:v>63</x:v>
      </x:c>
      <x:c r="B67" s="42" t="str">
        <x:f>IF(Q67&gt;=95,"A-优先联系",IF(Q67&gt;=85,"B-重点关注","C-补充候选"))</x:f>
        <x:v>A-优先联系</x:v>
      </x:c>
      <x:c r="C67" s="28" t="str">
        <x:v>Rickie Patani</x:v>
      </x:c>
      <x:c r="D67" s="28" t="str">
        <x:v>United Kingdom</x:v>
      </x:c>
      <x:c r="E67" s="34" t="str">
        <x:v>The Francis Crick Institute / UCL</x:v>
      </x:c>
      <x:c r="F67" s="34" t="str">
        <x:v>rickie.patani@nus.edu.sg</x:v>
      </x:c>
      <x:c r="G67" s="46" t="str">
        <x:v>较高（近期论文通讯邮箱）</x:v>
      </x:c>
      <x:c r="H67" s="46" t="n">
        <x:v>2025</x:v>
      </x:c>
      <x:c r="I67" s="34" t="str">
        <x:v>RNA dysregulation in human stem-cell models of neurodegeneration</x:v>
      </x:c>
      <x:c r="J67" s="34" t="str">
        <x:v>ALS and motor-neuron disease</x:v>
      </x:c>
      <x:c r="K67" s="42" t="str">
        <x:v>高</x:v>
      </x:c>
      <x:c r="L67" s="52" t="n">
        <x:v>5</x:v>
      </x:c>
      <x:c r="M67" s="52" t="n">
        <x:v>5</x:v>
      </x:c>
      <x:c r="N67" s="52" t="n">
        <x:v>2</x:v>
      </x:c>
      <x:c r="O67" s="52" t="n">
        <x:v>2</x:v>
      </x:c>
      <x:c r="P67" s="52" t="n">
        <x:f>L67*7+M67*7+N67*10+O67*5</x:f>
        <x:v>100</x:v>
      </x:c>
      <x:c r="Q67" s="52" t="n">
        <x:f>MIN(100,P67+IF(D67="Germany",10,0))</x:f>
        <x:v>100</x:v>
      </x:c>
      <x:c r="R67" s="34" t="str">
        <x:v>APP antisense oligonucleotides reduce amyloid-β aggregation and rescue endolysosomal dysfunction in Alzheimer’s disease</x:v>
      </x:c>
      <x:c r="S67" s="28" t="str">
        <x:v>Brain</x:v>
      </x:c>
      <x:c r="T67" s="42" t="n">
        <x:v>2024</x:v>
      </x:c>
      <x:c r="U67" s="49" t="n">
        <x:v>14.5</x:v>
      </x:c>
      <x:c r="V67" s="42" t="n">
        <x:v>2024</x:v>
      </x:c>
      <x:c r="W67" s="28" t="str">
        <x:v>https://doi.org/10.1093/brain/awae092</x:v>
      </x:c>
      <x:c r="X67" s="28" t="str">
        <x:v>https://academic.oup.com/brain/pages/about</x:v>
      </x:c>
      <x:c r="Y67" s="28" t="str">
        <x:v>https://europepmc.org/articles/PMC12925969</x:v>
      </x:c>
      <x:c r="Z67" s="28" t="str">
        <x:v>https://openalex.org/A5076531240</x:v>
      </x:c>
      <x:c r="AA67" s="28" t="str">
        <x:v>https://orcid.org/0000-0002-3825-7675</x:v>
      </x:c>
      <x:c r="AB67" s="28" t="str">
        <x:v>是</x:v>
      </x:c>
      <x:c r="AC67" s="34" t="str">
        <x:v>建议发送前再用机构官网确认</x:v>
      </x:c>
      <x:c r="AD67" s="37" t="str">
        <x:v>National University of Singapore | The Francis Crick Institute | Singapore Centre for Environmental Life Sciences Engineering | National Hospital for Neurology and Neurosurgery | University College London</x:v>
      </x:c>
    </x:row>
    <x:row r="68">
      <x:c r="A68" s="41" t="n">
        <x:v>64</x:v>
      </x:c>
      <x:c r="B68" s="42" t="str">
        <x:f>IF(Q68&gt;=95,"A-优先联系",IF(Q68&gt;=85,"B-重点关注","C-补充候选"))</x:f>
        <x:v>A-优先联系</x:v>
      </x:c>
      <x:c r="C68" s="28" t="str">
        <x:v>Roderic Guigo</x:v>
      </x:c>
      <x:c r="D68" s="28" t="str">
        <x:v>Spain</x:v>
      </x:c>
      <x:c r="E68" s="34" t="str">
        <x:v>Centre for Genomic Regulation</x:v>
      </x:c>
      <x:c r="F68" s="34" t="str">
        <x:v>roderic.guigo@crg.cat</x:v>
      </x:c>
      <x:c r="G68" s="46" t="str">
        <x:v>较高（近期论文通讯邮箱）</x:v>
      </x:c>
      <x:c r="H68" s="46" t="n">
        <x:v>2025</x:v>
      </x:c>
      <x:c r="I68" s="34" t="str">
        <x:v>Human transcriptome annotation and functional genomics</x:v>
      </x:c>
      <x:c r="J68" s="34" t="str">
        <x:v>human disease genomics</x:v>
      </x:c>
      <x:c r="K68" s="42" t="str">
        <x:v>高</x:v>
      </x:c>
      <x:c r="L68" s="52" t="n">
        <x:v>5</x:v>
      </x:c>
      <x:c r="M68" s="52" t="n">
        <x:v>5</x:v>
      </x:c>
      <x:c r="N68" s="52" t="n">
        <x:v>2</x:v>
      </x:c>
      <x:c r="O68" s="52" t="n">
        <x:v>2</x:v>
      </x:c>
      <x:c r="P68" s="52" t="n">
        <x:f>L68*7+M68*7+N68*10+O68*5</x:f>
        <x:v>100</x:v>
      </x:c>
      <x:c r="Q68" s="52" t="n">
        <x:f>MIN(100,P68+IF(D68="Germany",10,0))</x:f>
        <x:v>100</x:v>
      </x:c>
      <x:c r="R68" s="34" t="str">
        <x:v>The Biodiversity Cell Atlas: mapping the tree of life at cellular resolution</x:v>
      </x:c>
      <x:c r="S68" s="28" t="str">
        <x:v>Nature</x:v>
      </x:c>
      <x:c r="T68" s="42" t="n">
        <x:v>2025</x:v>
      </x:c>
      <x:c r="U68" s="49" t="n">
        <x:v>48.5</x:v>
      </x:c>
      <x:c r="V68" s="42" t="n">
        <x:v>2024</x:v>
      </x:c>
      <x:c r="W68" s="28" t="str">
        <x:v>https://doi.org/10.1038/s41586-025-09312-4</x:v>
      </x:c>
      <x:c r="X68" s="28" t="str">
        <x:v>https://www.nature.com/nature/journal-impact</x:v>
      </x:c>
      <x:c r="Y68" s="28" t="str">
        <x:v>https://europepmc.org/articles/PMC12675792</x:v>
      </x:c>
      <x:c r="Z68" s="28" t="str">
        <x:v>https://openalex.org/A5067701434</x:v>
      </x:c>
      <x:c r="AA68" s="28" t="str">
        <x:v>https://orcid.org/0000-0002-5738-4477</x:v>
      </x:c>
      <x:c r="AB68" s="28" t="str">
        <x:v>是</x:v>
      </x:c>
      <x:c r="AC68" s="34" t="str">
        <x:v>建议发送前再用机构官网确认</x:v>
      </x:c>
      <x:c r="AD68" s="37" t="str">
        <x:v>Universitat Pompeu Fabra | Centre for Genomic Regulation</x:v>
      </x:c>
    </x:row>
    <x:row r="69">
      <x:c r="A69" s="41" t="n">
        <x:v>65</x:v>
      </x:c>
      <x:c r="B69" s="42" t="str">
        <x:f>IF(Q69&gt;=95,"A-优先联系",IF(Q69&gt;=85,"B-重点关注","C-补充候选"))</x:f>
        <x:v>A-优先联系</x:v>
      </x:c>
      <x:c r="C69" s="28" t="str">
        <x:v>Samir El Andaloussi</x:v>
      </x:c>
      <x:c r="D69" s="28" t="str">
        <x:v>Sweden</x:v>
      </x:c>
      <x:c r="E69" s="34" t="str">
        <x:v>Karolinska Institutet</x:v>
      </x:c>
      <x:c r="F69" s="34" t="str">
        <x:v>samir.el-andaloussi@ki.se</x:v>
      </x:c>
      <x:c r="G69" s="46" t="str">
        <x:v>较高（近期论文通讯邮箱）</x:v>
      </x:c>
      <x:c r="H69" s="46" t="n">
        <x:v>2025</x:v>
      </x:c>
      <x:c r="I69" s="34" t="str">
        <x:v>RNA delivery and extracellular-vesicle therapeutics</x:v>
      </x:c>
      <x:c r="J69" s="34" t="str">
        <x:v>muscular dystrophy and neurodegeneration</x:v>
      </x:c>
      <x:c r="K69" s="42" t="str">
        <x:v>高</x:v>
      </x:c>
      <x:c r="L69" s="52" t="n">
        <x:v>5</x:v>
      </x:c>
      <x:c r="M69" s="52" t="n">
        <x:v>5</x:v>
      </x:c>
      <x:c r="N69" s="52" t="n">
        <x:v>2</x:v>
      </x:c>
      <x:c r="O69" s="52" t="n">
        <x:v>2</x:v>
      </x:c>
      <x:c r="P69" s="52" t="n">
        <x:f>L69*7+M69*7+N69*10+O69*5</x:f>
        <x:v>100</x:v>
      </x:c>
      <x:c r="Q69" s="52" t="n">
        <x:f>MIN(100,P69+IF(D69="Germany",10,0))</x:f>
        <x:v>100</x:v>
      </x:c>
      <x:c r="R69" s="34" t="str">
        <x:v>Engineering of extracellular vesicles for efficient intracellular delivery of multimodal therapeutics including genome editors</x:v>
      </x:c>
      <x:c r="S69" s="28" t="str">
        <x:v>Nature Communications</x:v>
      </x:c>
      <x:c r="T69" s="42" t="n">
        <x:v>2025</x:v>
      </x:c>
      <x:c r="U69" s="49" t="n">
        <x:v>18.1</x:v>
      </x:c>
      <x:c r="V69" s="42" t="n">
        <x:v>2025</x:v>
      </x:c>
      <x:c r="W69" s="28" t="str">
        <x:v>https://doi.org/10.1038/s41467-025-59377-y</x:v>
      </x:c>
      <x:c r="X69" s="28" t="str">
        <x:v>https://www.nature.com/ncomms/ncomms/journal-impact</x:v>
      </x:c>
      <x:c r="Y69" s="28" t="str">
        <x:v>https://europepmc.org/articles/PMC12948232</x:v>
      </x:c>
      <x:c r="Z69" s="28" t="str">
        <x:v>https://openalex.org/A5059897226</x:v>
      </x:c>
      <x:c r="AA69" s="28" t="str">
        <x:v>https://orcid.org/0000-0003-4468-9113</x:v>
      </x:c>
      <x:c r="AB69" s="28" t="str">
        <x:v>是</x:v>
      </x:c>
      <x:c r="AC69" s="34" t="str">
        <x:v>建议发送前再用机构官网确认</x:v>
      </x:c>
      <x:c r="AD69" s="37" t="str">
        <x:v>Karolinska University Hospital | Karolinska Institutet | VIB-UGent Center for Inflammation Research</x:v>
      </x:c>
    </x:row>
    <x:row r="70">
      <x:c r="A70" s="41" t="n">
        <x:v>66</x:v>
      </x:c>
      <x:c r="B70" s="42" t="str">
        <x:f>IF(Q70&gt;=95,"A-优先联系",IF(Q70&gt;=85,"B-重点关注","C-补充候选"))</x:f>
        <x:v>A-优先联系</x:v>
      </x:c>
      <x:c r="C70" s="28" t="str">
        <x:v>Sampsa Hautaniemi</x:v>
      </x:c>
      <x:c r="D70" s="28" t="str">
        <x:v>Finland</x:v>
      </x:c>
      <x:c r="E70" s="34" t="str">
        <x:v>University of Helsinki</x:v>
      </x:c>
      <x:c r="F70" s="34" t="str">
        <x:v>sampsa.hautaniemi@helsinki.fi</x:v>
      </x:c>
      <x:c r="G70" s="46" t="str">
        <x:v>较高（近期论文通讯邮箱）</x:v>
      </x:c>
      <x:c r="H70" s="46" t="n">
        <x:v>2025</x:v>
      </x:c>
      <x:c r="I70" s="34" t="str">
        <x:v>Systems biology and cancer transcriptomics</x:v>
      </x:c>
      <x:c r="J70" s="34" t="str">
        <x:v>ovarian and prostate cancer</x:v>
      </x:c>
      <x:c r="K70" s="42" t="str">
        <x:v>高</x:v>
      </x:c>
      <x:c r="L70" s="52" t="n">
        <x:v>5</x:v>
      </x:c>
      <x:c r="M70" s="52" t="n">
        <x:v>5</x:v>
      </x:c>
      <x:c r="N70" s="52" t="n">
        <x:v>2</x:v>
      </x:c>
      <x:c r="O70" s="52" t="n">
        <x:v>2</x:v>
      </x:c>
      <x:c r="P70" s="52" t="n">
        <x:f>L70*7+M70*7+N70*10+O70*5</x:f>
        <x:v>100</x:v>
      </x:c>
      <x:c r="Q70" s="52" t="n">
        <x:f>MIN(100,P70+IF(D70="Germany",10,0))</x:f>
        <x:v>100</x:v>
      </x:c>
      <x:c r="R70" s="34" t="str">
        <x:v>Abstract 4940: Unraveling ctDNA features in high-grade serous ovarian carcinoma and insights from genomic and transcriptomic integration</x:v>
      </x:c>
      <x:c r="S70" s="28" t="str">
        <x:v>Cancer Research</x:v>
      </x:c>
      <x:c r="T70" s="42" t="n">
        <x:v>2024</x:v>
      </x:c>
      <x:c r="U70" s="49" t="n">
        <x:v>12.5</x:v>
      </x:c>
      <x:c r="V70" s="42" t="n">
        <x:v>2024</x:v>
      </x:c>
      <x:c r="W70" s="28" t="str">
        <x:v>https://doi.org/10.1158/1538-7445.am2024-4940</x:v>
      </x:c>
      <x:c r="X70" s="28" t="str">
        <x:v>https://aacrjournals.org/cancerres/pages/about</x:v>
      </x:c>
      <x:c r="Y70" s="28" t="str">
        <x:v>https://europepmc.org/articles/PMC12664990</x:v>
      </x:c>
      <x:c r="Z70" s="28" t="str">
        <x:v>https://openalex.org/A5033102814</x:v>
      </x:c>
      <x:c r="AA70" s="28" t="str">
        <x:v>https://orcid.org/0000-0002-7749-2694</x:v>
      </x:c>
      <x:c r="AB70" s="28" t="str">
        <x:v>是</x:v>
      </x:c>
      <x:c r="AC70" s="34" t="str">
        <x:v>建议发送前再用机构官网确认</x:v>
      </x:c>
      <x:c r="AD70" s="37" t="str">
        <x:v>University of Helsinki | University of Turku | Turku University Hospital</x:v>
      </x:c>
    </x:row>
    <x:row r="71">
      <x:c r="A71" s="41" t="n">
        <x:v>67</x:v>
      </x:c>
      <x:c r="B71" s="42" t="str">
        <x:f>IF(Q71&gt;=95,"A-优先联系",IF(Q71&gt;=85,"B-重点关注","C-补充候选"))</x:f>
        <x:v>A-优先联系</x:v>
      </x:c>
      <x:c r="C71" s="28" t="str">
        <x:v>Stefano Gustincich</x:v>
      </x:c>
      <x:c r="D71" s="28" t="str">
        <x:v>Italy</x:v>
      </x:c>
      <x:c r="E71" s="34" t="str">
        <x:v>Italian Institute of Technology</x:v>
      </x:c>
      <x:c r="F71" s="34" t="str">
        <x:v>stefano.gustincich@iit.it</x:v>
      </x:c>
      <x:c r="G71" s="46" t="str">
        <x:v>较高（近期论文通讯邮箱）</x:v>
      </x:c>
      <x:c r="H71" s="46" t="n">
        <x:v>2026</x:v>
      </x:c>
      <x:c r="I71" s="34" t="str">
        <x:v>Non-coding RNA and neurogenomics</x:v>
      </x:c>
      <x:c r="J71" s="34" t="str">
        <x:v>Parkinson's disease</x:v>
      </x:c>
      <x:c r="K71" s="42" t="str">
        <x:v>高</x:v>
      </x:c>
      <x:c r="L71" s="52" t="n">
        <x:v>5</x:v>
      </x:c>
      <x:c r="M71" s="52" t="n">
        <x:v>5</x:v>
      </x:c>
      <x:c r="N71" s="52" t="n">
        <x:v>2</x:v>
      </x:c>
      <x:c r="O71" s="52" t="n">
        <x:v>2</x:v>
      </x:c>
      <x:c r="P71" s="52" t="n">
        <x:f>L71*7+M71*7+N71*10+O71*5</x:f>
        <x:v>100</x:v>
      </x:c>
      <x:c r="Q71" s="52" t="n">
        <x:f>MIN(100,P71+IF(D71="Germany",10,0))</x:f>
        <x:v>100</x:v>
      </x:c>
      <x:c r="R71" s="34" t="str">
        <x:v>Internal ribosome entry sites enhance translation in &lt;i&gt;trans&lt;/i&gt; in antisense non-coding SINEUP and circular RNAs</x:v>
      </x:c>
      <x:c r="S71" s="28" t="str">
        <x:v>Nucleic Acids Research</x:v>
      </x:c>
      <x:c r="T71" s="42" t="n">
        <x:v>2025</x:v>
      </x:c>
      <x:c r="U71" s="49" t="n">
        <x:v>15</x:v>
      </x:c>
      <x:c r="V71" s="42" t="n">
        <x:v>2025</x:v>
      </x:c>
      <x:c r="W71" s="28" t="str">
        <x:v>https://doi.org/10.1093/nar/gkaf788</x:v>
      </x:c>
      <x:c r="X71" s="28" t="str">
        <x:v>https://academic.oup.com/nar/pages/about</x:v>
      </x:c>
      <x:c r="Y71" s="28" t="str">
        <x:v>https://europepmc.org/articles/PMC12886966</x:v>
      </x:c>
      <x:c r="Z71" s="28" t="str">
        <x:v>https://openalex.org/A5010889569</x:v>
      </x:c>
      <x:c r="AA71" s="28" t="str">
        <x:v>https://orcid.org/0000-0002-2749-2514</x:v>
      </x:c>
      <x:c r="AB71" s="28" t="str">
        <x:v>是</x:v>
      </x:c>
      <x:c r="AC71" s="34" t="str">
        <x:v>建议发送前再用机构官网确认</x:v>
      </x:c>
      <x:c r="AD71" s="37" t="str">
        <x:v>Italian Institute of Technology</x:v>
      </x:c>
    </x:row>
    <x:row r="72">
      <x:c r="A72" s="41" t="n">
        <x:v>68</x:v>
      </x:c>
      <x:c r="B72" s="42" t="str">
        <x:f>IF(Q72&gt;=95,"A-优先联系",IF(Q72&gt;=85,"B-重点关注","C-补充候选"))</x:f>
        <x:v>A-优先联系</x:v>
      </x:c>
      <x:c r="C72" s="28" t="str">
        <x:v>Sudipto Das</x:v>
      </x:c>
      <x:c r="D72" s="28" t="str">
        <x:v>Ireland</x:v>
      </x:c>
      <x:c r="E72" s="34" t="str">
        <x:v>RCSI University of Medicine and Health Sciences</x:v>
      </x:c>
      <x:c r="F72" s="34" t="str">
        <x:v>dassu@mail.nih.gov</x:v>
      </x:c>
      <x:c r="G72" s="46" t="str">
        <x:v>较高（近期论文通讯邮箱）</x:v>
      </x:c>
      <x:c r="H72" s="46" t="n">
        <x:v>2025</x:v>
      </x:c>
      <x:c r="I72" s="34" t="str">
        <x:v>miRNA and extracellular RNA biomarkers</x:v>
      </x:c>
      <x:c r="J72" s="34" t="str">
        <x:v>cancer and cardiovascular disease</x:v>
      </x:c>
      <x:c r="K72" s="42" t="str">
        <x:v>高</x:v>
      </x:c>
      <x:c r="L72" s="52" t="n">
        <x:v>5</x:v>
      </x:c>
      <x:c r="M72" s="52" t="n">
        <x:v>5</x:v>
      </x:c>
      <x:c r="N72" s="52" t="n">
        <x:v>2</x:v>
      </x:c>
      <x:c r="O72" s="52" t="n">
        <x:v>2</x:v>
      </x:c>
      <x:c r="P72" s="52" t="n">
        <x:f>L72*7+M72*7+N72*10+O72*5</x:f>
        <x:v>100</x:v>
      </x:c>
      <x:c r="Q72" s="52" t="n">
        <x:f>MIN(100,P72+IF(D72="Germany",10,0))</x:f>
        <x:v>100</x:v>
      </x:c>
      <x:c r="R72" s="34" t="str">
        <x:v>Large-scale multiomic analysis identifies non-coding somatic driver mutations and nominates &lt;i&gt;ZFP36L2&lt;/i&gt; as a driver gene for pancreatic ductal adenocarcinoma</x:v>
      </x:c>
      <x:c r="S72" s="28" t="str">
        <x:v>Gut</x:v>
      </x:c>
      <x:c r="T72" s="42" t="n">
        <x:v>2025</x:v>
      </x:c>
      <x:c r="U72" s="49" t="n">
        <x:v>25.8</x:v>
      </x:c>
      <x:c r="V72" s="42" t="n">
        <x:v>2024</x:v>
      </x:c>
      <x:c r="W72" s="28" t="str">
        <x:v>https://doi.org/10.1136/gutjnl-2025-335152</x:v>
      </x:c>
      <x:c r="X72" s="28" t="str">
        <x:v>https://gut.bmj.com/pages/about</x:v>
      </x:c>
      <x:c r="Y72" s="28" t="str">
        <x:v>https://europepmc.org/articles/PMC12435836</x:v>
      </x:c>
      <x:c r="Z72" s="28" t="str">
        <x:v>https://openalex.org/A5101524754</x:v>
      </x:c>
      <x:c r="AA72" s="28" t="str">
        <x:v>https://orcid.org/0009-0000-8325-0088</x:v>
      </x:c>
      <x:c r="AB72" s="28" t="str">
        <x:v>是</x:v>
      </x:c>
      <x:c r="AC72" s="34" t="str">
        <x:v>建议发送前再用机构官网确认</x:v>
      </x:c>
      <x:c r="AD72" s="37" t="str">
        <x:v>Royal College of Surgeons in Ireland</x:v>
      </x:c>
    </x:row>
    <x:row r="73">
      <x:c r="A73" s="41" t="n">
        <x:v>69</x:v>
      </x:c>
      <x:c r="B73" s="42" t="str">
        <x:f>IF(Q73&gt;=95,"A-优先联系",IF(Q73&gt;=85,"B-重点关注","C-补充候选"))</x:f>
        <x:v>A-优先联系</x:v>
      </x:c>
      <x:c r="C73" s="28" t="str">
        <x:v>Tero Aittokallio</x:v>
      </x:c>
      <x:c r="D73" s="28" t="str">
        <x:v>Finland</x:v>
      </x:c>
      <x:c r="E73" s="34" t="str">
        <x:v>University of Helsinki / FIMM</x:v>
      </x:c>
      <x:c r="F73" s="34" t="str">
        <x:v>tero.aittokallio@helsinki.fi</x:v>
      </x:c>
      <x:c r="G73" s="46" t="str">
        <x:v>较高（近期论文通讯邮箱）</x:v>
      </x:c>
      <x:c r="H73" s="46" t="n">
        <x:v>2026</x:v>
      </x:c>
      <x:c r="I73" s="34" t="str">
        <x:v>Computational precision oncology and transcriptomics</x:v>
      </x:c>
      <x:c r="J73" s="34" t="str">
        <x:v>cancer drug response</x:v>
      </x:c>
      <x:c r="K73" s="42" t="str">
        <x:v>高</x:v>
      </x:c>
      <x:c r="L73" s="52" t="n">
        <x:v>5</x:v>
      </x:c>
      <x:c r="M73" s="52" t="n">
        <x:v>5</x:v>
      </x:c>
      <x:c r="N73" s="52" t="n">
        <x:v>2</x:v>
      </x:c>
      <x:c r="O73" s="52" t="n">
        <x:v>2</x:v>
      </x:c>
      <x:c r="P73" s="52" t="n">
        <x:f>L73*7+M73*7+N73*10+O73*5</x:f>
        <x:v>100</x:v>
      </x:c>
      <x:c r="Q73" s="52" t="n">
        <x:f>MIN(100,P73+IF(D73="Germany",10,0))</x:f>
        <x:v>100</x:v>
      </x:c>
      <x:c r="R73" s="34" t="str">
        <x:v>Single-cell transcriptomes identify patient-tailored therapies for selective co-inhibition of cancer clones</x:v>
      </x:c>
      <x:c r="S73" s="28" t="str">
        <x:v>Nature Communications</x:v>
      </x:c>
      <x:c r="T73" s="42" t="n">
        <x:v>2024</x:v>
      </x:c>
      <x:c r="U73" s="49" t="n">
        <x:v>18.1</x:v>
      </x:c>
      <x:c r="V73" s="42" t="n">
        <x:v>2025</x:v>
      </x:c>
      <x:c r="W73" s="28" t="str">
        <x:v>https://doi.org/10.1038/s41467-024-52980-5</x:v>
      </x:c>
      <x:c r="X73" s="28" t="str">
        <x:v>https://www.nature.com/ncomms/ncomms/journal-impact</x:v>
      </x:c>
      <x:c r="Y73" s="28" t="str">
        <x:v>https://europepmc.org/articles/PMC12809113</x:v>
      </x:c>
      <x:c r="Z73" s="28" t="str">
        <x:v>https://openalex.org/A5016681267</x:v>
      </x:c>
      <x:c r="AA73" s="28" t="str">
        <x:v>https://orcid.org/0000-0002-0886-9769</x:v>
      </x:c>
      <x:c r="AB73" s="28" t="str">
        <x:v>是</x:v>
      </x:c>
      <x:c r="AC73" s="34" t="str">
        <x:v>建议发送前再用机构官网确认</x:v>
      </x:c>
      <x:c r="AD73" s="37" t="str">
        <x:v>Oslo University Hospital | University of Helsinki | University of Oslo | Helsinki University Hospital | Cancer Registry of Norway | Institute for Molecular Medicine Finland</x:v>
      </x:c>
    </x:row>
    <x:row r="74">
      <x:c r="A74" s="41" t="n">
        <x:v>70</x:v>
      </x:c>
      <x:c r="B74" s="42" t="str">
        <x:f>IF(Q74&gt;=95,"A-优先联系",IF(Q74&gt;=85,"B-重点关注","C-补充候选"))</x:f>
        <x:v>A-优先联系</x:v>
      </x:c>
      <x:c r="C74" s="28" t="str">
        <x:v>Tiziana Bonaldi</x:v>
      </x:c>
      <x:c r="D74" s="28" t="str">
        <x:v>Italy</x:v>
      </x:c>
      <x:c r="E74" s="34" t="str">
        <x:v>European Institute of Oncology</x:v>
      </x:c>
      <x:c r="F74" s="34" t="str">
        <x:v>tiziana.bonaldi@ieo.it</x:v>
      </x:c>
      <x:c r="G74" s="46" t="str">
        <x:v>较高（近期论文通讯邮箱）</x:v>
      </x:c>
      <x:c r="H74" s="46" t="n">
        <x:v>2025</x:v>
      </x:c>
      <x:c r="I74" s="34" t="str">
        <x:v>RNA modifications and cancer epigenetics</x:v>
      </x:c>
      <x:c r="J74" s="34" t="str">
        <x:v>cancer</x:v>
      </x:c>
      <x:c r="K74" s="42" t="str">
        <x:v>高</x:v>
      </x:c>
      <x:c r="L74" s="52" t="n">
        <x:v>5</x:v>
      </x:c>
      <x:c r="M74" s="52" t="n">
        <x:v>5</x:v>
      </x:c>
      <x:c r="N74" s="52" t="n">
        <x:v>2</x:v>
      </x:c>
      <x:c r="O74" s="52" t="n">
        <x:v>2</x:v>
      </x:c>
      <x:c r="P74" s="52" t="n">
        <x:f>L74*7+M74*7+N74*10+O74*5</x:f>
        <x:v>100</x:v>
      </x:c>
      <x:c r="Q74" s="52" t="n">
        <x:f>MIN(100,P74+IF(D74="Germany",10,0))</x:f>
        <x:v>100</x:v>
      </x:c>
      <x:c r="R74" s="34" t="str">
        <x:v>Mammalian H4K16ac regulates the spatiotemporal order of genome replication rather than gene expression</x:v>
      </x:c>
      <x:c r="S74" s="28" t="str">
        <x:v>Nucleic Acids Research</x:v>
      </x:c>
      <x:c r="T74" s="42" t="n">
        <x:v>2025</x:v>
      </x:c>
      <x:c r="U74" s="49" t="n">
        <x:v>15</x:v>
      </x:c>
      <x:c r="V74" s="42" t="n">
        <x:v>2025</x:v>
      </x:c>
      <x:c r="W74" s="28" t="str">
        <x:v>https://doi.org/10.1093/nar/gkaf916</x:v>
      </x:c>
      <x:c r="X74" s="28" t="str">
        <x:v>https://academic.oup.com/nar/pages/about</x:v>
      </x:c>
      <x:c r="Y74" s="28" t="str">
        <x:v>https://europepmc.org/articles/PMC12634847</x:v>
      </x:c>
      <x:c r="Z74" s="28" t="str">
        <x:v>https://openalex.org/A5059227149</x:v>
      </x:c>
      <x:c r="AA74" s="28" t="str">
        <x:v>https://orcid.org/0000-0003-3556-1265</x:v>
      </x:c>
      <x:c r="AB74" s="28" t="str">
        <x:v>是</x:v>
      </x:c>
      <x:c r="AC74" s="34" t="str">
        <x:v>建议发送前再用机构官网确认</x:v>
      </x:c>
      <x:c r="AD74" s="37" t="str">
        <x:v>University of Milan | VIB-KU Leuven Center for Cancer Biology | European Institute of Oncology</x:v>
      </x:c>
    </x:row>
    <x:row r="75">
      <x:c r="A75" s="41" t="n">
        <x:v>71</x:v>
      </x:c>
      <x:c r="B75" s="42" t="str">
        <x:f>IF(Q75&gt;=95,"A-优先联系",IF(Q75&gt;=85,"B-重点关注","C-补充候选"))</x:f>
        <x:v>A-优先联系</x:v>
      </x:c>
      <x:c r="C75" s="28" t="str">
        <x:v>Victoria Cowling</x:v>
      </x:c>
      <x:c r="D75" s="28" t="str">
        <x:v>United Kingdom</x:v>
      </x:c>
      <x:c r="E75" s="34" t="str">
        <x:v>University of Dundee</x:v>
      </x:c>
      <x:c r="F75" s="34" t="str">
        <x:v>victoria.cowling@glasgow.ac.uk</x:v>
      </x:c>
      <x:c r="G75" s="46" t="str">
        <x:v>较高（近期论文通讯邮箱）</x:v>
      </x:c>
      <x:c r="H75" s="46" t="n">
        <x:v>2025</x:v>
      </x:c>
      <x:c r="I75" s="34" t="str">
        <x:v>mRNA capping, translation and therapeutic target discovery</x:v>
      </x:c>
      <x:c r="J75" s="34" t="str">
        <x:v>cancer and immune disease</x:v>
      </x:c>
      <x:c r="K75" s="42" t="str">
        <x:v>高</x:v>
      </x:c>
      <x:c r="L75" s="52" t="n">
        <x:v>5</x:v>
      </x:c>
      <x:c r="M75" s="52" t="n">
        <x:v>5</x:v>
      </x:c>
      <x:c r="N75" s="52" t="n">
        <x:v>2</x:v>
      </x:c>
      <x:c r="O75" s="52" t="n">
        <x:v>2</x:v>
      </x:c>
      <x:c r="P75" s="52" t="n">
        <x:f>L75*7+M75*7+N75*10+O75*5</x:f>
        <x:v>100</x:v>
      </x:c>
      <x:c r="Q75" s="52" t="n">
        <x:f>MIN(100,P75+IF(D75="Germany",10,0))</x:f>
        <x:v>100</x:v>
      </x:c>
      <x:c r="R75" s="34" t="str">
        <x:v>CMTR1 directs mitochondrial dynamics during T cell activation through epitranscriptomic regulation of splice isoforms</x:v>
      </x:c>
      <x:c r="S75" s="28" t="str">
        <x:v>Cell Reports</x:v>
      </x:c>
      <x:c r="T75" s="42" t="n">
        <x:v>2025</x:v>
      </x:c>
      <x:c r="U75" s="49" t="n">
        <x:v>7.5</x:v>
      </x:c>
      <x:c r="V75" s="42" t="n">
        <x:v>2024</x:v>
      </x:c>
      <x:c r="W75" s="28" t="str">
        <x:v>https://doi.org/10.1016/j.celrep.2025.116412</x:v>
      </x:c>
      <x:c r="X75" s="28" t="str">
        <x:v>https://www.cell.com/cell-reports/home</x:v>
      </x:c>
      <x:c r="Y75" s="28" t="str">
        <x:v>https://europepmc.org/articles/PMC12599247</x:v>
      </x:c>
      <x:c r="Z75" s="28" t="str">
        <x:v>https://openalex.org/A5052631798</x:v>
      </x:c>
      <x:c r="AA75" s="28" t="str">
        <x:v>https://orcid.org/0000-0001-7638-4870</x:v>
      </x:c>
      <x:c r="AB75" s="28" t="str">
        <x:v>是</x:v>
      </x:c>
      <x:c r="AC75" s="34" t="str">
        <x:v>建议发送前再用机构官网确认</x:v>
      </x:c>
      <x:c r="AD75" s="37" t="str">
        <x:v>University of Dundee</x:v>
      </x:c>
    </x:row>
    <x:row r="76">
      <x:c r="A76" s="41" t="n">
        <x:v>72</x:v>
      </x:c>
      <x:c r="B76" s="42" t="str">
        <x:f>IF(Q76&gt;=95,"A-优先联系",IF(Q76&gt;=85,"B-重点关注","C-补充候选"))</x:f>
        <x:v>A-优先联系</x:v>
      </x:c>
      <x:c r="C76" s="28" t="str">
        <x:v>William Gallagher</x:v>
      </x:c>
      <x:c r="D76" s="28" t="str">
        <x:v>Ireland</x:v>
      </x:c>
      <x:c r="E76" s="34" t="str">
        <x:v>University College Dublin</x:v>
      </x:c>
      <x:c r="F76" s="34" t="str">
        <x:v>William.Gallagher@ucd.ie</x:v>
      </x:c>
      <x:c r="G76" s="46" t="str">
        <x:v>较高（近期论文通讯邮箱）</x:v>
      </x:c>
      <x:c r="H76" s="46" t="n">
        <x:v>2022</x:v>
      </x:c>
      <x:c r="I76" s="34" t="str">
        <x:v>Cancer omics and transcriptomic biomarkers</x:v>
      </x:c>
      <x:c r="J76" s="34" t="str">
        <x:v>cancer biomarkers</x:v>
      </x:c>
      <x:c r="K76" s="42" t="str">
        <x:v>高</x:v>
      </x:c>
      <x:c r="L76" s="52" t="n">
        <x:v>5</x:v>
      </x:c>
      <x:c r="M76" s="52" t="n">
        <x:v>5</x:v>
      </x:c>
      <x:c r="N76" s="52" t="n">
        <x:v>2</x:v>
      </x:c>
      <x:c r="O76" s="52" t="n">
        <x:v>2</x:v>
      </x:c>
      <x:c r="P76" s="52" t="n">
        <x:f>L76*7+M76*7+N76*10+O76*5</x:f>
        <x:v>100</x:v>
      </x:c>
      <x:c r="Q76" s="52" t="n">
        <x:f>MIN(100,P76+IF(D76="Germany",10,0))</x:f>
        <x:v>100</x:v>
      </x:c>
      <x:c r="R76" s="34" t="str">
        <x:v>Abstract 5787: Modelling the spatial heterogeneity of CD45-positive tumor infiltrating lymphocytes in early-stage, estrogen receptor-positive breast cancer</x:v>
      </x:c>
      <x:c r="S76" s="28" t="str">
        <x:v>Cancer Research</x:v>
      </x:c>
      <x:c r="T76" s="42" t="n">
        <x:v>2023</x:v>
      </x:c>
      <x:c r="U76" s="49" t="n">
        <x:v>12.5</x:v>
      </x:c>
      <x:c r="V76" s="42" t="n">
        <x:v>2024</x:v>
      </x:c>
      <x:c r="W76" s="28" t="str">
        <x:v>https://doi.org/10.1158/1538-7445.am2023-5787</x:v>
      </x:c>
      <x:c r="X76" s="28" t="str">
        <x:v>https://aacrjournals.org/cancerres/pages/about</x:v>
      </x:c>
      <x:c r="Y76" s="28" t="str">
        <x:v>https://europepmc.org/articles/PMC8780351</x:v>
      </x:c>
      <x:c r="Z76" s="28" t="str">
        <x:v>https://openalex.org/A5001554361</x:v>
      </x:c>
      <x:c r="AA76" s="28" t="str">
        <x:v>https://orcid.org/0000-0002-4307-5999</x:v>
      </x:c>
      <x:c r="AB76" s="28" t="str">
        <x:v>是</x:v>
      </x:c>
      <x:c r="AC76" s="34" t="str">
        <x:v>建议发送前再用机构官网确认</x:v>
      </x:c>
      <x:c r="AD76" s="37" t="str">
        <x:v>University College Dublin | OncoMark (Ireland)</x:v>
      </x:c>
    </x:row>
    <x:row r="77">
      <x:c r="A77" s="41" t="n">
        <x:v>73</x:v>
      </x:c>
      <x:c r="B77" s="42" t="str">
        <x:f>IF(Q77&gt;=95,"A-优先联系",IF(Q77&gt;=85,"B-重点关注","C-补充候选"))</x:f>
        <x:v>A-优先联系</x:v>
      </x:c>
      <x:c r="C77" s="28" t="str">
        <x:v>Claudia Hobartner</x:v>
      </x:c>
      <x:c r="D77" s="28" t="str">
        <x:v>Germany</x:v>
      </x:c>
      <x:c r="E77" s="34" t="str">
        <x:v>University of Wurzburg</x:v>
      </x:c>
      <x:c r="F77" s="34" t="str">
        <x:v>claudia.hoebartner@uni-wuerzburg.de</x:v>
      </x:c>
      <x:c r="G77" s="46" t="str">
        <x:v>较高（近期论文通讯邮箱）</x:v>
      </x:c>
      <x:c r="H77" s="46" t="n">
        <x:v>2025</x:v>
      </x:c>
      <x:c r="I77" s="34" t="str">
        <x:v>RNA chemistry, RNA modification and editing</x:v>
      </x:c>
      <x:c r="J77" s="34" t="str">
        <x:v>RNA diagnostics and therapeutics</x:v>
      </x:c>
      <x:c r="K77" s="42" t="str">
        <x:v>中</x:v>
      </x:c>
      <x:c r="L77" s="52" t="n">
        <x:v>5</x:v>
      </x:c>
      <x:c r="M77" s="52" t="n">
        <x:v>3</x:v>
      </x:c>
      <x:c r="N77" s="52" t="n">
        <x:v>2</x:v>
      </x:c>
      <x:c r="O77" s="52" t="n">
        <x:v>2</x:v>
      </x:c>
      <x:c r="P77" s="52" t="n">
        <x:f>L77*7+M77*7+N77*10+O77*5</x:f>
        <x:v>86</x:v>
      </x:c>
      <x:c r="Q77" s="52" t="n">
        <x:f>MIN(100,P77+IF(D77="Germany",10,0))</x:f>
        <x:v>96</x:v>
      </x:c>
      <x:c r="R77" s="34" t="str">
        <x:v>2′-O-methylation-dependent installation of N2-methylguanosine in the U6 internal stem loop facilitates efficient spliceosome assembly</x:v>
      </x:c>
      <x:c r="S77" s="28" t="str">
        <x:v>Nature Communications</x:v>
      </x:c>
      <x:c r="T77" s="42" t="n">
        <x:v>2026</x:v>
      </x:c>
      <x:c r="U77" s="49" t="n">
        <x:v>18.1</x:v>
      </x:c>
      <x:c r="V77" s="42" t="n">
        <x:v>2025</x:v>
      </x:c>
      <x:c r="W77" s="28" t="str">
        <x:v>https://doi.org/10.1038/s41467-026-72355-2</x:v>
      </x:c>
      <x:c r="X77" s="28" t="str">
        <x:v>https://www.nature.com/ncomms/ncomms/journal-impact</x:v>
      </x:c>
      <x:c r="Y77" s="28" t="str">
        <x:v>https://europepmc.org/articles/PMC12184302</x:v>
      </x:c>
      <x:c r="Z77" s="28" t="str">
        <x:v>https://openalex.org/A5021290270</x:v>
      </x:c>
      <x:c r="AA77" s="28" t="str">
        <x:v>https://orcid.org/0000-0002-4548-2299</x:v>
      </x:c>
      <x:c r="AB77" s="28" t="str">
        <x:v>是</x:v>
      </x:c>
      <x:c r="AC77" s="34" t="str">
        <x:v>建议发送前再用机构官网确认</x:v>
      </x:c>
      <x:c r="AD77" s="37" t="str">
        <x:v>University of Würzburg</x:v>
      </x:c>
    </x:row>
    <x:row r="78">
      <x:c r="A78" s="41" t="n">
        <x:v>74</x:v>
      </x:c>
      <x:c r="B78" s="42" t="str">
        <x:f>IF(Q78&gt;=95,"A-优先联系",IF(Q78&gt;=85,"B-重点关注","C-补充候选"))</x:f>
        <x:v>A-优先联系</x:v>
      </x:c>
      <x:c r="C78" s="28" t="str">
        <x:v>Gunter Meister</x:v>
      </x:c>
      <x:c r="D78" s="28" t="str">
        <x:v>Germany</x:v>
      </x:c>
      <x:c r="E78" s="34" t="str">
        <x:v>University of Regensburg</x:v>
      </x:c>
      <x:c r="F78" s="34" t="str">
        <x:v>gunter.meister@ur.de</x:v>
      </x:c>
      <x:c r="G78" s="46" t="str">
        <x:v>较高（近期论文通讯邮箱）</x:v>
      </x:c>
      <x:c r="H78" s="46" t="n">
        <x:v>2024</x:v>
      </x:c>
      <x:c r="I78" s="34" t="str">
        <x:v>miRNA and RNA silencing</x:v>
      </x:c>
      <x:c r="J78" s="34" t="str">
        <x:v>cancer and viral disease</x:v>
      </x:c>
      <x:c r="K78" s="42" t="str">
        <x:v>中</x:v>
      </x:c>
      <x:c r="L78" s="52" t="n">
        <x:v>5</x:v>
      </x:c>
      <x:c r="M78" s="52" t="n">
        <x:v>3</x:v>
      </x:c>
      <x:c r="N78" s="52" t="n">
        <x:v>2</x:v>
      </x:c>
      <x:c r="O78" s="52" t="n">
        <x:v>2</x:v>
      </x:c>
      <x:c r="P78" s="52" t="n">
        <x:f>L78*7+M78*7+N78*10+O78*5</x:f>
        <x:v>86</x:v>
      </x:c>
      <x:c r="Q78" s="52" t="n">
        <x:f>MIN(100,P78+IF(D78="Germany",10,0))</x:f>
        <x:v>96</x:v>
      </x:c>
      <x:c r="R78" s="34" t="str">
        <x:v>Cytoplasmic DIS3 is an exosome-independent endoribonuclease with catalytic activity toward circular RNAs</x:v>
      </x:c>
      <x:c r="S78" s="28" t="str">
        <x:v>Cell Reports</x:v>
      </x:c>
      <x:c r="T78" s="42" t="n">
        <x:v>2025</x:v>
      </x:c>
      <x:c r="U78" s="49" t="n">
        <x:v>7.5</x:v>
      </x:c>
      <x:c r="V78" s="42" t="n">
        <x:v>2024</x:v>
      </x:c>
      <x:c r="W78" s="28" t="str">
        <x:v>https://doi.org/10.1016/j.celrep.2025.115769</x:v>
      </x:c>
      <x:c r="X78" s="28" t="str">
        <x:v>https://www.cell.com/cell-reports/home</x:v>
      </x:c>
      <x:c r="Y78" s="28" t="str">
        <x:v>https://europepmc.org/articles/PMC11612968</x:v>
      </x:c>
      <x:c r="Z78" s="28" t="str">
        <x:v>https://openalex.org/A5058056443</x:v>
      </x:c>
      <x:c r="AA78" s="28" t="str">
        <x:v>https://orcid.org/0000-0002-2098-9923</x:v>
      </x:c>
      <x:c r="AB78" s="28" t="str">
        <x:v>是</x:v>
      </x:c>
      <x:c r="AC78" s="34" t="str">
        <x:v>建议发送前再用机构官网确认</x:v>
      </x:c>
      <x:c r="AD78" s="37" t="str">
        <x:v>University of Regensburg</x:v>
      </x:c>
    </x:row>
    <x:row r="79">
      <x:c r="A79" s="41" t="n">
        <x:v>75</x:v>
      </x:c>
      <x:c r="B79" s="42" t="str">
        <x:f>IF(Q79&gt;=95,"A-优先联系",IF(Q79&gt;=85,"B-重点关注","C-补充候选"))</x:f>
        <x:v>A-优先联系</x:v>
      </x:c>
      <x:c r="C79" s="28" t="str">
        <x:v>Markus Landthaler</x:v>
      </x:c>
      <x:c r="D79" s="28" t="str">
        <x:v>Germany</x:v>
      </x:c>
      <x:c r="E79" s="34" t="str">
        <x:v>Max Delbruck Center</x:v>
      </x:c>
      <x:c r="F79" s="34" t="str">
        <x:v>markus.landthaler@mdc-berlin.de</x:v>
      </x:c>
      <x:c r="G79" s="46" t="str">
        <x:v>较高（近期论文通讯邮箱）</x:v>
      </x:c>
      <x:c r="H79" s="46" t="n">
        <x:v>2024</x:v>
      </x:c>
      <x:c r="I79" s="34" t="str">
        <x:v>Post-transcriptional gene regulation and RNA-binding proteins</x:v>
      </x:c>
      <x:c r="J79" s="34" t="str">
        <x:v>human disease mechanisms</x:v>
      </x:c>
      <x:c r="K79" s="42" t="str">
        <x:v>中</x:v>
      </x:c>
      <x:c r="L79" s="52" t="n">
        <x:v>5</x:v>
      </x:c>
      <x:c r="M79" s="52" t="n">
        <x:v>3</x:v>
      </x:c>
      <x:c r="N79" s="52" t="n">
        <x:v>2</x:v>
      </x:c>
      <x:c r="O79" s="52" t="n">
        <x:v>2</x:v>
      </x:c>
      <x:c r="P79" s="52" t="n">
        <x:f>L79*7+M79*7+N79*10+O79*5</x:f>
        <x:v>86</x:v>
      </x:c>
      <x:c r="Q79" s="52" t="n">
        <x:f>MIN(100,P79+IF(D79="Germany",10,0))</x:f>
        <x:v>96</x:v>
      </x:c>
      <x:c r="R79" s="34" t="str">
        <x:v>Herpesviruses mimic zygotic genome activation to promote viral replication</x:v>
      </x:c>
      <x:c r="S79" s="28" t="str">
        <x:v>Nature Communications</x:v>
      </x:c>
      <x:c r="T79" s="42" t="n">
        <x:v>2025</x:v>
      </x:c>
      <x:c r="U79" s="49" t="n">
        <x:v>18.1</x:v>
      </x:c>
      <x:c r="V79" s="42" t="n">
        <x:v>2025</x:v>
      </x:c>
      <x:c r="W79" s="28" t="str">
        <x:v>https://doi.org/10.1038/s41467-025-55928-5</x:v>
      </x:c>
      <x:c r="X79" s="28" t="str">
        <x:v>https://www.nature.com/ncomms/ncomms/journal-impact</x:v>
      </x:c>
      <x:c r="Y79" s="28" t="str">
        <x:v>https://europepmc.org/articles/PMC11611909</x:v>
      </x:c>
      <x:c r="Z79" s="28" t="str">
        <x:v>https://openalex.org/A5052259098</x:v>
      </x:c>
      <x:c r="AA79" s="28" t="str">
        <x:v>https://orcid.org/0000-0002-1075-8734</x:v>
      </x:c>
      <x:c r="AB79" s="28" t="str">
        <x:v>是</x:v>
      </x:c>
      <x:c r="AC79" s="34" t="str">
        <x:v>建议发送前再用机构官网确认</x:v>
      </x:c>
      <x:c r="AD79" s="37" t="str">
        <x:v>Max Delbrück Center | Humboldt-Universität zu Berlin</x:v>
      </x:c>
    </x:row>
    <x:row r="80">
      <x:c r="A80" s="41" t="n">
        <x:v>76</x:v>
      </x:c>
      <x:c r="B80" s="42" t="str">
        <x:f>IF(Q80&gt;=95,"A-优先联系",IF(Q80&gt;=85,"B-重点关注","C-补充候选"))</x:f>
        <x:v>A-优先联系</x:v>
      </x:c>
      <x:c r="C80" s="28" t="str">
        <x:v>Matthias Hentze</x:v>
      </x:c>
      <x:c r="D80" s="28" t="str">
        <x:v>Germany</x:v>
      </x:c>
      <x:c r="E80" s="34" t="str">
        <x:v>EMBL Heidelberg</x:v>
      </x:c>
      <x:c r="F80" s="34" t="str">
        <x:v>hentze@embl.org</x:v>
      </x:c>
      <x:c r="G80" s="46" t="str">
        <x:v>较高（近期论文通讯邮箱）</x:v>
      </x:c>
      <x:c r="H80" s="46" t="n">
        <x:v>2026</x:v>
      </x:c>
      <x:c r="I80" s="34" t="str">
        <x:v>RNA metabolism and RNA-binding proteins</x:v>
      </x:c>
      <x:c r="J80" s="34" t="str">
        <x:v>cancer and metabolic disease</x:v>
      </x:c>
      <x:c r="K80" s="42" t="str">
        <x:v>中</x:v>
      </x:c>
      <x:c r="L80" s="52" t="n">
        <x:v>5</x:v>
      </x:c>
      <x:c r="M80" s="52" t="n">
        <x:v>3</x:v>
      </x:c>
      <x:c r="N80" s="52" t="n">
        <x:v>2</x:v>
      </x:c>
      <x:c r="O80" s="52" t="n">
        <x:v>2</x:v>
      </x:c>
      <x:c r="P80" s="52" t="n">
        <x:f>L80*7+M80*7+N80*10+O80*5</x:f>
        <x:v>86</x:v>
      </x:c>
      <x:c r="Q80" s="52" t="n">
        <x:f>MIN(100,P80+IF(D80="Germany",10,0))</x:f>
        <x:v>96</x:v>
      </x:c>
      <x:c r="R80" s="34" t="str">
        <x:v>Signal or noise? RNA-binding proteins and the challenges of binding site assignments</x:v>
      </x:c>
      <x:c r="S80" s="28" t="str">
        <x:v>Nucleic Acids Research</x:v>
      </x:c>
      <x:c r="T80" s="42" t="n">
        <x:v>2026</x:v>
      </x:c>
      <x:c r="U80" s="49" t="n">
        <x:v>15</x:v>
      </x:c>
      <x:c r="V80" s="42" t="n">
        <x:v>2025</x:v>
      </x:c>
      <x:c r="W80" s="28" t="str">
        <x:v>https://doi.org/10.1093/nar/gkag452</x:v>
      </x:c>
      <x:c r="X80" s="28" t="str">
        <x:v>https://academic.oup.com/nar/pages/about</x:v>
      </x:c>
      <x:c r="Y80" s="28" t="str">
        <x:v>https://europepmc.org/articles/PMC13191282</x:v>
      </x:c>
      <x:c r="Z80" s="28" t="str">
        <x:v>https://openalex.org/A5000270755</x:v>
      </x:c>
      <x:c r="AA80" s="28" t="str">
        <x:v>https://orcid.org/0000-0002-4023-7876</x:v>
      </x:c>
      <x:c r="AB80" s="28" t="str">
        <x:v>是</x:v>
      </x:c>
      <x:c r="AC80" s="34" t="str">
        <x:v>建议发送前再用机构官网确认</x:v>
      </x:c>
      <x:c r="AD80" s="37" t="str">
        <x:v>European Bioinformatics Institute | Heidelberg University | European Molecular Biology Laboratory | European Molecular Biology Laboratory</x:v>
      </x:c>
    </x:row>
    <x:row r="81">
      <x:c r="A81" s="41" t="n">
        <x:v>77</x:v>
      </x:c>
      <x:c r="B81" s="42" t="str">
        <x:f>IF(Q81&gt;=95,"A-优先联系",IF(Q81&gt;=85,"B-重点关注","C-补充候选"))</x:f>
        <x:v>A-优先联系</x:v>
      </x:c>
      <x:c r="C81" s="28" t="str">
        <x:v>Michael Sattler</x:v>
      </x:c>
      <x:c r="D81" s="28" t="str">
        <x:v>Germany</x:v>
      </x:c>
      <x:c r="E81" s="34" t="str">
        <x:v>Helmholtz Munich / Technical University of Munich</x:v>
      </x:c>
      <x:c r="F81" s="34" t="str">
        <x:v>michael.sattler@helmholtz-munich.de</x:v>
      </x:c>
      <x:c r="G81" s="46" t="str">
        <x:v>较高（近期论文通讯邮箱）</x:v>
      </x:c>
      <x:c r="H81" s="46" t="n">
        <x:v>2025</x:v>
      </x:c>
      <x:c r="I81" s="34" t="str">
        <x:v>RNA structure and RNA-protein complexes</x:v>
      </x:c>
      <x:c r="J81" s="34" t="str">
        <x:v>disease-associated RNA processing</x:v>
      </x:c>
      <x:c r="K81" s="42" t="str">
        <x:v>中</x:v>
      </x:c>
      <x:c r="L81" s="52" t="n">
        <x:v>5</x:v>
      </x:c>
      <x:c r="M81" s="52" t="n">
        <x:v>3</x:v>
      </x:c>
      <x:c r="N81" s="52" t="n">
        <x:v>2</x:v>
      </x:c>
      <x:c r="O81" s="52" t="n">
        <x:v>2</x:v>
      </x:c>
      <x:c r="P81" s="52" t="n">
        <x:f>L81*7+M81*7+N81*10+O81*5</x:f>
        <x:v>86</x:v>
      </x:c>
      <x:c r="Q81" s="52" t="n">
        <x:f>MIN(100,P81+IF(D81="Germany",10,0))</x:f>
        <x:v>96</x:v>
      </x:c>
      <x:c r="R81" s="34" t="str">
        <x:v>Pseudouridine RNA avoids immune detection through impaired endolysosomal processing and TLR engagement</x:v>
      </x:c>
      <x:c r="S81" s="28" t="str">
        <x:v>Cell</x:v>
      </x:c>
      <x:c r="T81" s="42" t="n">
        <x:v>2025</x:v>
      </x:c>
      <x:c r="U81" s="49" t="n">
        <x:v>42.5</x:v>
      </x:c>
      <x:c r="V81" s="42" t="n">
        <x:v>2024</x:v>
      </x:c>
      <x:c r="W81" s="28" t="str">
        <x:v>https://doi.org/10.1016/j.cell.2025.05.032</x:v>
      </x:c>
      <x:c r="X81" s="28" t="str">
        <x:v>https://www.cell.com/cell/home</x:v>
      </x:c>
      <x:c r="Y81" s="28" t="str">
        <x:v>https://europepmc.org/articles/PMC12684335</x:v>
      </x:c>
      <x:c r="Z81" s="28" t="str">
        <x:v>https://openalex.org/A5046686387</x:v>
      </x:c>
      <x:c r="AA81" s="28" t="str">
        <x:v>https://orcid.org/0000-0002-1594-0527</x:v>
      </x:c>
      <x:c r="AB81" s="28" t="str">
        <x:v>是</x:v>
      </x:c>
      <x:c r="AC81" s="34" t="str">
        <x:v>建议发送前再用机构官网确认</x:v>
      </x:c>
      <x:c r="AD81" s="37" t="str">
        <x:v>Centre National des Sciences et Technologies Nucléaires | Target (Germany) | Technical University of Munich</x:v>
      </x:c>
    </x:row>
    <x:row r="82">
      <x:c r="A82" s="41" t="n">
        <x:v>78</x:v>
      </x:c>
      <x:c r="B82" s="42" t="str">
        <x:f>IF(Q82&gt;=95,"A-优先联系",IF(Q82&gt;=85,"B-重点关注","C-补充候选"))</x:f>
        <x:v>A-优先联系</x:v>
      </x:c>
      <x:c r="C82" s="28" t="str">
        <x:v>Patrick Cramer</x:v>
      </x:c>
      <x:c r="D82" s="28" t="str">
        <x:v>Germany</x:v>
      </x:c>
      <x:c r="E82" s="34" t="str">
        <x:v>Max Planck Institute for Multidisciplinary Sciences</x:v>
      </x:c>
      <x:c r="F82" s="34" t="str">
        <x:v>patrick.cramer@mpinat.mpg.de</x:v>
      </x:c>
      <x:c r="G82" s="46" t="str">
        <x:v>较高（近期论文通讯邮箱）</x:v>
      </x:c>
      <x:c r="H82" s="46" t="n">
        <x:v>2026</x:v>
      </x:c>
      <x:c r="I82" s="34" t="str">
        <x:v>Transcription, RNA polymerase and gene regulation</x:v>
      </x:c>
      <x:c r="J82" s="34" t="str">
        <x:v>mechanistic basis of disease</x:v>
      </x:c>
      <x:c r="K82" s="42" t="str">
        <x:v>中</x:v>
      </x:c>
      <x:c r="L82" s="52" t="n">
        <x:v>5</x:v>
      </x:c>
      <x:c r="M82" s="52" t="n">
        <x:v>3</x:v>
      </x:c>
      <x:c r="N82" s="52" t="n">
        <x:v>2</x:v>
      </x:c>
      <x:c r="O82" s="52" t="n">
        <x:v>2</x:v>
      </x:c>
      <x:c r="P82" s="52" t="n">
        <x:f>L82*7+M82*7+N82*10+O82*5</x:f>
        <x:v>86</x:v>
      </x:c>
      <x:c r="Q82" s="52" t="n">
        <x:f>MIN(100,P82+IF(D82="Germany",10,0))</x:f>
        <x:v>96</x:v>
      </x:c>
      <x:c r="R82" s="34" t="str">
        <x:v>Mechanism of co-transcriptional cap snatching by influenza polymerase</x:v>
      </x:c>
      <x:c r="S82" s="28" t="str">
        <x:v>Nature</x:v>
      </x:c>
      <x:c r="T82" s="42" t="n">
        <x:v>2026</x:v>
      </x:c>
      <x:c r="U82" s="49" t="n">
        <x:v>48.5</x:v>
      </x:c>
      <x:c r="V82" s="42" t="n">
        <x:v>2024</x:v>
      </x:c>
      <x:c r="W82" s="28" t="str">
        <x:v>https://doi.org/10.1038/s41586-026-10189-0</x:v>
      </x:c>
      <x:c r="X82" s="28" t="str">
        <x:v>https://www.nature.com/nature/journal-impact</x:v>
      </x:c>
      <x:c r="Y82" s="28" t="str">
        <x:v>https://europepmc.org/articles/PMC13128444</x:v>
      </x:c>
      <x:c r="Z82" s="28" t="str">
        <x:v>https://openalex.org/A5008281609</x:v>
      </x:c>
      <x:c r="AA82" s="28" t="str">
        <x:v>https://orcid.org/0000-0001-5454-7755</x:v>
      </x:c>
      <x:c r="AB82" s="28" t="str">
        <x:v>是</x:v>
      </x:c>
      <x:c r="AC82" s="34" t="str">
        <x:v>建议发送前再用机构官网确认</x:v>
      </x:c>
      <x:c r="AD82" s="37" t="str">
        <x:v>Max Planck Institute of Molecular Plant Physiology</x:v>
      </x:c>
    </x:row>
    <x:row r="83">
      <x:c r="A83" s="41" t="n">
        <x:v>79</x:v>
      </x:c>
      <x:c r="B83" s="42" t="str">
        <x:f>IF(Q83&gt;=95,"A-优先联系",IF(Q83&gt;=85,"B-重点关注","C-补充候选"))</x:f>
        <x:v>A-优先联系</x:v>
      </x:c>
      <x:c r="C83" s="28" t="str">
        <x:v>Ben Berkhout</x:v>
      </x:c>
      <x:c r="D83" s="28" t="str">
        <x:v>Netherlands</x:v>
      </x:c>
      <x:c r="E83" s="34" t="str">
        <x:v>Amsterdam UMC</x:v>
      </x:c>
      <x:c r="F83" s="34" t="str">
        <x:v>b.berkhout@amsterdamumc.nl</x:v>
      </x:c>
      <x:c r="G83" s="46" t="str">
        <x:v>较高（近期论文通讯邮箱）</x:v>
      </x:c>
      <x:c r="H83" s="46" t="n">
        <x:v>2024</x:v>
      </x:c>
      <x:c r="I83" s="34" t="str">
        <x:v>HIV RNA biology and antiviral strategies</x:v>
      </x:c>
      <x:c r="J83" s="34" t="str">
        <x:v>HIV</x:v>
      </x:c>
      <x:c r="K83" s="42" t="str">
        <x:v>高</x:v>
      </x:c>
      <x:c r="L83" s="52" t="n">
        <x:v>5</x:v>
      </x:c>
      <x:c r="M83" s="52" t="n">
        <x:v>5</x:v>
      </x:c>
      <x:c r="N83" s="52" t="n">
        <x:v>2</x:v>
      </x:c>
      <x:c r="O83" s="52" t="n">
        <x:v>1</x:v>
      </x:c>
      <x:c r="P83" s="52" t="n">
        <x:f>L83*7+M83*7+N83*10+O83*5</x:f>
        <x:v>95</x:v>
      </x:c>
      <x:c r="Q83" s="52" t="n">
        <x:f>MIN(100,P83+IF(D83="Germany",10,0))</x:f>
        <x:v>95</x:v>
      </x:c>
      <x:c r="R83" s="34" t="str">
        <x:v>Long-term effect of temporary ART initiated during primary HIV-1 infection on viral persistence</x:v>
      </x:c>
      <x:c r="S83" s="28" t="str">
        <x:v>Nature Communications</x:v>
      </x:c>
      <x:c r="T83" s="42" t="n">
        <x:v>2025</x:v>
      </x:c>
      <x:c r="U83" s="49" t="n">
        <x:v>18.1</x:v>
      </x:c>
      <x:c r="V83" s="42" t="n">
        <x:v>2025</x:v>
      </x:c>
      <x:c r="W83" s="28" t="str">
        <x:v>https://doi.org/10.1038/s41467-025-62362-0</x:v>
      </x:c>
      <x:c r="X83" s="28" t="str">
        <x:v>https://www.nature.com/ncomms/ncomms/journal-impact</x:v>
      </x:c>
      <x:c r="Y83" s="28" t="str">
        <x:v>https://europepmc.org/articles/PMC11736392</x:v>
      </x:c>
      <x:c r="Z83" s="28" t="str">
        <x:v>https://openalex.org/A5019287445</x:v>
      </x:c>
      <x:c r="AA83" s="28" t="str">
        <x:v>https://orcid.org/0000-0002-1905-8486</x:v>
      </x:c>
      <x:c r="AB83" s="28" t="str">
        <x:v>需复核</x:v>
      </x:c>
      <x:c r="AC83" s="34" t="str">
        <x:v>OpenAlex当前机构国家未匹配/数据可能滞后；建议发送前再用机构官网确认</x:v>
      </x:c>
      <x:c r="AD83" s="37" t="str">
        <x:v>Department of Virology</x:v>
      </x:c>
    </x:row>
    <x:row r="84">
      <x:c r="A84" s="41" t="n">
        <x:v>80</x:v>
      </x:c>
      <x:c r="B84" s="42" t="str">
        <x:f>IF(Q84&gt;=95,"A-优先联系",IF(Q84&gt;=85,"B-重点关注","C-补充候选"))</x:f>
        <x:v>A-优先联系</x:v>
      </x:c>
      <x:c r="C84" s="28" t="str">
        <x:v>Javier Martinez</x:v>
      </x:c>
      <x:c r="D84" s="28" t="str">
        <x:v>Austria</x:v>
      </x:c>
      <x:c r="E84" s="34" t="str">
        <x:v>Medical University of Vienna</x:v>
      </x:c>
      <x:c r="F84" s="34" t="str">
        <x:v>javier.martinez@upm.es</x:v>
      </x:c>
      <x:c r="G84" s="46" t="str">
        <x:v>较高（近期论文通讯邮箱）</x:v>
      </x:c>
      <x:c r="H84" s="46" t="n">
        <x:v>2026</x:v>
      </x:c>
      <x:c r="I84" s="34" t="str">
        <x:v>RNA biology, small RNA and RNA decay</x:v>
      </x:c>
      <x:c r="J84" s="34" t="str">
        <x:v>cancer and immune disease</x:v>
      </x:c>
      <x:c r="K84" s="42" t="str">
        <x:v>高</x:v>
      </x:c>
      <x:c r="L84" s="52" t="n">
        <x:v>5</x:v>
      </x:c>
      <x:c r="M84" s="52" t="n">
        <x:v>5</x:v>
      </x:c>
      <x:c r="N84" s="52" t="n">
        <x:v>2</x:v>
      </x:c>
      <x:c r="O84" s="52" t="n">
        <x:v>1</x:v>
      </x:c>
      <x:c r="P84" s="52" t="n">
        <x:f>L84*7+M84*7+N84*10+O84*5</x:f>
        <x:v>95</x:v>
      </x:c>
      <x:c r="Q84" s="52" t="n">
        <x:f>MIN(100,P84+IF(D84="Germany",10,0))</x:f>
        <x:v>95</x:v>
      </x:c>
      <x:c r="R84" s="34" t="str">
        <x:v>Time to HIV viral rebound and frequency of post-treatment control after analytical interruption of antiretroviral therapy: an individual data-based meta-analysis of 24 prospective studies</x:v>
      </x:c>
      <x:c r="S84" s="28" t="str">
        <x:v>Nature Communications</x:v>
      </x:c>
      <x:c r="T84" s="42" t="n">
        <x:v>2025</x:v>
      </x:c>
      <x:c r="U84" s="49" t="n">
        <x:v>18.1</x:v>
      </x:c>
      <x:c r="V84" s="42" t="n">
        <x:v>2025</x:v>
      </x:c>
      <x:c r="W84" s="28" t="str">
        <x:v>https://doi.org/10.1038/s41467-025-56116-1</x:v>
      </x:c>
      <x:c r="X84" s="28" t="str">
        <x:v>https://www.nature.com/ncomms/ncomms/journal-impact</x:v>
      </x:c>
      <x:c r="Y84" s="28" t="str">
        <x:v>https://europepmc.org/articles/PMC12899479</x:v>
      </x:c>
      <x:c r="Z84" s="28" t="str">
        <x:v>https://openalex.org/A5080704945</x:v>
      </x:c>
      <x:c r="AA84" s="28" t="str">
        <x:v>https://orcid.org/0000-0002-4916-2129</x:v>
      </x:c>
      <x:c r="AB84" s="28" t="str">
        <x:v>需复核</x:v>
      </x:c>
      <x:c r="AC84" s="34" t="str">
        <x:v>OpenAlex当前机构国家未匹配/数据可能滞后；建议发送前再用机构官网确认</x:v>
      </x:c>
      <x:c r="AD84" s="37" t="str">
        <x:v>Universitat de Vic - Universitat Central de Catalunya | Institució Catalana de Recerca i Estudis Avançats | Instituto de Salud Carlos III | IrsiCaixa | Centro de Investigación en Red en Enfermedades Cardiovasculares | Institut d'Investigació en Ciències de la Salut Germans Trias i Pujol</x:v>
      </x:c>
    </x:row>
    <x:row r="85">
      <x:c r="A85" s="41" t="n">
        <x:v>81</x:v>
      </x:c>
      <x:c r="B85" s="42" t="str">
        <x:f>IF(Q85&gt;=95,"A-优先联系",IF(Q85&gt;=85,"B-重点关注","C-补充候选"))</x:f>
        <x:v>A-优先联系</x:v>
      </x:c>
      <x:c r="C85" s="28" t="str">
        <x:v>Rory Johnson</x:v>
      </x:c>
      <x:c r="D85" s="28" t="str">
        <x:v>Switzerland</x:v>
      </x:c>
      <x:c r="E85" s="34" t="str">
        <x:v>University of Bern</x:v>
      </x:c>
      <x:c r="F85" s="34" t="str">
        <x:v>rory.johnson@ucd.ie</x:v>
      </x:c>
      <x:c r="G85" s="46" t="str">
        <x:v>较高（近期论文通讯邮箱）</x:v>
      </x:c>
      <x:c r="H85" s="46" t="n">
        <x:v>2024</x:v>
      </x:c>
      <x:c r="I85" s="34" t="str">
        <x:v>Long non-coding RNA in cancer</x:v>
      </x:c>
      <x:c r="J85" s="34" t="str">
        <x:v>cancer biomarkers and therapy</x:v>
      </x:c>
      <x:c r="K85" s="42" t="str">
        <x:v>高</x:v>
      </x:c>
      <x:c r="L85" s="52" t="n">
        <x:v>5</x:v>
      </x:c>
      <x:c r="M85" s="52" t="n">
        <x:v>5</x:v>
      </x:c>
      <x:c r="N85" s="52" t="n">
        <x:v>2</x:v>
      </x:c>
      <x:c r="O85" s="52" t="n">
        <x:v>1</x:v>
      </x:c>
      <x:c r="P85" s="52" t="n">
        <x:f>L85*7+M85*7+N85*10+O85*5</x:f>
        <x:v>95</x:v>
      </x:c>
      <x:c r="Q85" s="52" t="n">
        <x:f>MIN(100,P85+IF(D85="Germany",10,0))</x:f>
        <x:v>95</x:v>
      </x:c>
      <x:c r="R85" s="34" t="str">
        <x:v>Targeting Wnt signalling through LINC02418: insights from CRISPR screens</x:v>
      </x:c>
      <x:c r="S85" s="28" t="str">
        <x:v>Gut</x:v>
      </x:c>
      <x:c r="T85" s="42" t="n">
        <x:v>2025</x:v>
      </x:c>
      <x:c r="U85" s="49" t="n">
        <x:v>25.8</x:v>
      </x:c>
      <x:c r="V85" s="42" t="n">
        <x:v>2024</x:v>
      </x:c>
      <x:c r="W85" s="28" t="str">
        <x:v>https://doi.org/10.1136/gutjnl-2024-334266</x:v>
      </x:c>
      <x:c r="X85" s="28" t="str">
        <x:v>https://gut.bmj.com/pages/about</x:v>
      </x:c>
      <x:c r="Y85" s="28" t="str">
        <x:v>https://europepmc.org/articles/PMC11014264</x:v>
      </x:c>
      <x:c r="Z85" s="28" t="str">
        <x:v>https://openalex.org/A5056810241</x:v>
      </x:c>
      <x:c r="AA85" s="28" t="str">
        <x:v>https://orcid.org/0000-0003-4607-2782</x:v>
      </x:c>
      <x:c r="AB85" s="28" t="str">
        <x:v>需复核</x:v>
      </x:c>
      <x:c r="AC85" s="34" t="str">
        <x:v>OpenAlex当前机构国家未匹配/数据可能滞后；建议发送前再用机构官网确认</x:v>
      </x:c>
      <x:c r="AD85" s="37" t="str">
        <x:v>University College Dublin | Genomics Medicine (Ireland)</x:v>
      </x:c>
    </x:row>
    <x:row r="86">
      <x:c r="A86" s="41" t="n">
        <x:v>82</x:v>
      </x:c>
      <x:c r="B86" s="42" t="str">
        <x:f>IF(Q86&gt;=95,"A-优先联系",IF(Q86&gt;=85,"B-重点关注","C-补充候选"))</x:f>
        <x:v>A-优先联系</x:v>
      </x:c>
      <x:c r="C86" s="28" t="str">
        <x:v>Sten Linnarsson</x:v>
      </x:c>
      <x:c r="D86" s="28" t="str">
        <x:v>Sweden</x:v>
      </x:c>
      <x:c r="E86" s="34" t="str">
        <x:v>Karolinska Institutet</x:v>
      </x:c>
      <x:c r="F86" s="34" t="str">
        <x:v>sten.eirik.jacobsen@ki.se</x:v>
      </x:c>
      <x:c r="G86" s="46" t="str">
        <x:v>较高（近期论文通讯邮箱）</x:v>
      </x:c>
      <x:c r="H86" s="46" t="n">
        <x:v>2024</x:v>
      </x:c>
      <x:c r="I86" s="34" t="str">
        <x:v>Single-cell transcriptomics of the nervous system</x:v>
      </x:c>
      <x:c r="J86" s="34" t="str">
        <x:v>brain disease</x:v>
      </x:c>
      <x:c r="K86" s="42" t="str">
        <x:v>高</x:v>
      </x:c>
      <x:c r="L86" s="52" t="n">
        <x:v>5</x:v>
      </x:c>
      <x:c r="M86" s="52" t="n">
        <x:v>5</x:v>
      </x:c>
      <x:c r="N86" s="52" t="n">
        <x:v>2</x:v>
      </x:c>
      <x:c r="O86" s="52" t="n">
        <x:v>1</x:v>
      </x:c>
      <x:c r="P86" s="52" t="n">
        <x:f>L86*7+M86*7+N86*10+O86*5</x:f>
        <x:v>95</x:v>
      </x:c>
      <x:c r="Q86" s="52" t="n">
        <x:f>MIN(100,P86+IF(D86="Germany",10,0))</x:f>
        <x:v>95</x:v>
      </x:c>
      <x:c r="R86" s="34" t="str">
        <x:v>Spatiotemporal gene expression and cellular dynamics of the developing human heart</x:v>
      </x:c>
      <x:c r="S86" s="28" t="str">
        <x:v>Nature Genetics</x:v>
      </x:c>
      <x:c r="T86" s="42" t="n">
        <x:v>2025</x:v>
      </x:c>
      <x:c r="U86" s="49" t="n">
        <x:v>29</x:v>
      </x:c>
      <x:c r="V86" s="42" t="n">
        <x:v>2024</x:v>
      </x:c>
      <x:c r="W86" s="28" t="str">
        <x:v>https://doi.org/10.1038/s41588-025-02352-6</x:v>
      </x:c>
      <x:c r="X86" s="28" t="str">
        <x:v>https://www.nature.com/ng/journal-impact</x:v>
      </x:c>
      <x:c r="Y86" s="28" t="str">
        <x:v>https://europepmc.org/articles/PMC11147777</x:v>
      </x:c>
      <x:c r="Z86" s="28" t="str">
        <x:v>https://openalex.org/A5086924433</x:v>
      </x:c>
      <x:c r="AA86" s="28" t="str">
        <x:v>https://orcid.org/0000-0002-3491-3444</x:v>
      </x:c>
      <x:c r="AB86" s="28" t="str">
        <x:v>需复核</x:v>
      </x:c>
      <x:c r="AC86" s="34" t="str">
        <x:v>OpenAlex当前机构国家未匹配/数据可能滞后；建议发送前再用机构官网确认</x:v>
      </x:c>
      <x:c r="AD86" s="37" t="str"/>
    </x:row>
    <x:row r="87">
      <x:c r="A87" s="41" t="n">
        <x:v>83</x:v>
      </x:c>
      <x:c r="B87" s="42" t="str">
        <x:f>IF(Q87&gt;=95,"A-优先联系",IF(Q87&gt;=85,"B-重点关注","C-补充候选"))</x:f>
        <x:v>A-优先联系</x:v>
      </x:c>
      <x:c r="C87" s="28" t="str">
        <x:v>Thomas Birkballe Hansen</x:v>
      </x:c>
      <x:c r="D87" s="28" t="str">
        <x:v>Denmark</x:v>
      </x:c>
      <x:c r="E87" s="34" t="str">
        <x:v>Aarhus University</x:v>
      </x:c>
      <x:c r="F87" s="34" t="str">
        <x:v>thomas.hansen@circio.com</x:v>
      </x:c>
      <x:c r="G87" s="46" t="str">
        <x:v>较高（近期论文通讯邮箱）</x:v>
      </x:c>
      <x:c r="H87" s="46" t="n">
        <x:v>2023</x:v>
      </x:c>
      <x:c r="I87" s="34" t="str">
        <x:v>Circular RNA biology and therapeutics</x:v>
      </x:c>
      <x:c r="J87" s="34" t="str">
        <x:v>neurological disease</x:v>
      </x:c>
      <x:c r="K87" s="42" t="str">
        <x:v>高</x:v>
      </x:c>
      <x:c r="L87" s="52" t="n">
        <x:v>5</x:v>
      </x:c>
      <x:c r="M87" s="52" t="n">
        <x:v>5</x:v>
      </x:c>
      <x:c r="N87" s="52" t="n">
        <x:v>2</x:v>
      </x:c>
      <x:c r="O87" s="52" t="n">
        <x:v>1</x:v>
      </x:c>
      <x:c r="P87" s="52" t="n">
        <x:f>L87*7+M87*7+N87*10+O87*5</x:f>
        <x:v>95</x:v>
      </x:c>
      <x:c r="Q87" s="52" t="n">
        <x:f>MIN(100,P87+IF(D87="Germany",10,0))</x:f>
        <x:v>95</x:v>
      </x:c>
      <x:c r="R87" s="34" t="str">
        <x:v>A guide to naming eukaryotic circular RNAs</x:v>
      </x:c>
      <x:c r="S87" s="28" t="str">
        <x:v>Nature Cell Biology</x:v>
      </x:c>
      <x:c r="T87" s="42" t="n">
        <x:v>2023</x:v>
      </x:c>
      <x:c r="U87" s="49" t="n">
        <x:v>17.3</x:v>
      </x:c>
      <x:c r="V87" s="42" t="n">
        <x:v>2024</x:v>
      </x:c>
      <x:c r="W87" s="28" t="str">
        <x:v>https://doi.org/10.1038/s41556-022-01066-9</x:v>
      </x:c>
      <x:c r="X87" s="28" t="str">
        <x:v>https://www.nature.com/ncb/journal-impact</x:v>
      </x:c>
      <x:c r="Y87" s="28" t="str">
        <x:v>https://europepmc.org/articles/PMC10476122</x:v>
      </x:c>
      <x:c r="Z87" s="28" t="str">
        <x:v>https://openalex.org/A5080899662</x:v>
      </x:c>
      <x:c r="AA87" s="28" t="str">
        <x:v>https://orcid.org/0000-0002-7573-9657</x:v>
      </x:c>
      <x:c r="AB87" s="28" t="str">
        <x:v>需复核</x:v>
      </x:c>
      <x:c r="AC87" s="34" t="str">
        <x:v>OpenAlex当前机构国家未匹配/数据可能滞后；建议发送前再用机构官网确认</x:v>
      </x:c>
      <x:c r="AD87" s="37" t="str"/>
    </x:row>
    <x:row r="88">
      <x:c r="A88" s="41" t="n">
        <x:v>84</x:v>
      </x:c>
      <x:c r="B88" s="42" t="str">
        <x:f>IF(Q88&gt;=95,"A-优先联系",IF(Q88&gt;=85,"B-重点关注","C-补充候选"))</x:f>
        <x:v>B-重点关注</x:v>
      </x:c>
      <x:c r="C88" s="28" t="str">
        <x:v>Christoph Bock</x:v>
      </x:c>
      <x:c r="D88" s="28" t="str">
        <x:v>Austria</x:v>
      </x:c>
      <x:c r="E88" s="34" t="str">
        <x:v>CeMM / Medical University of Vienna</x:v>
      </x:c>
      <x:c r="F88" s="34" t="str">
        <x:v>cbock@cemm.oeaw.ac.at</x:v>
      </x:c>
      <x:c r="G88" s="46" t="str">
        <x:v>较高（近期论文通讯邮箱）</x:v>
      </x:c>
      <x:c r="H88" s="46" t="n">
        <x:v>2025</x:v>
      </x:c>
      <x:c r="I88" s="34" t="str">
        <x:v>Single-cell multi-omics and precision medicine</x:v>
      </x:c>
      <x:c r="J88" s="34" t="str">
        <x:v>cancer and immune disease</x:v>
      </x:c>
      <x:c r="K88" s="42" t="str">
        <x:v>高</x:v>
      </x:c>
      <x:c r="L88" s="52" t="n">
        <x:v>4</x:v>
      </x:c>
      <x:c r="M88" s="52" t="n">
        <x:v>5</x:v>
      </x:c>
      <x:c r="N88" s="52" t="n">
        <x:v>2</x:v>
      </x:c>
      <x:c r="O88" s="52" t="n">
        <x:v>2</x:v>
      </x:c>
      <x:c r="P88" s="52" t="n">
        <x:f>L88*7+M88*7+N88*10+O88*5</x:f>
        <x:v>93</x:v>
      </x:c>
      <x:c r="Q88" s="52" t="n">
        <x:f>MIN(100,P88+IF(D88="Germany",10,0))</x:f>
        <x:v>93</x:v>
      </x:c>
      <x:c r="R88" s="34" t="str">
        <x:v>Systematic discovery of CRISPR-boosted CAR T cell immunotherapies</x:v>
      </x:c>
      <x:c r="S88" s="28" t="str">
        <x:v>Nature</x:v>
      </x:c>
      <x:c r="T88" s="42" t="n">
        <x:v>2025</x:v>
      </x:c>
      <x:c r="U88" s="49" t="n">
        <x:v>48.5</x:v>
      </x:c>
      <x:c r="V88" s="42" t="n">
        <x:v>2024</x:v>
      </x:c>
      <x:c r="W88" s="28" t="str">
        <x:v>https://doi.org/10.1038/s41586-025-09507-9</x:v>
      </x:c>
      <x:c r="X88" s="28" t="str">
        <x:v>https://www.nature.com/nature/journal-impact</x:v>
      </x:c>
      <x:c r="Y88" s="28" t="str">
        <x:v>https://europepmc.org/articles/PMC12545207</x:v>
      </x:c>
      <x:c r="Z88" s="28" t="str">
        <x:v>https://openalex.org/A5059183480</x:v>
      </x:c>
      <x:c r="AA88" s="28" t="str">
        <x:v>https://orcid.org/0000-0001-6091-3088</x:v>
      </x:c>
      <x:c r="AB88" s="28" t="str">
        <x:v>是</x:v>
      </x:c>
      <x:c r="AC88" s="34" t="str">
        <x:v>建议发送前再用机构官网确认</x:v>
      </x:c>
      <x:c r="AD88" s="37" t="str">
        <x:v>Austrian Academy of Sciences | Austrian Research Institute for Artificial Intelligence | CeMM Research Center for Molecular Medicine | Medical University of Vienna</x:v>
      </x:c>
    </x:row>
    <x:row r="89">
      <x:c r="A89" s="41" t="n">
        <x:v>85</x:v>
      </x:c>
      <x:c r="B89" s="42" t="str">
        <x:f>IF(Q89&gt;=95,"A-优先联系",IF(Q89&gt;=85,"B-重点关注","C-补充候选"))</x:f>
        <x:v>B-重点关注</x:v>
      </x:c>
      <x:c r="C89" s="28" t="str">
        <x:v>Thomas Carell</x:v>
      </x:c>
      <x:c r="D89" s="28" t="str">
        <x:v>Germany</x:v>
      </x:c>
      <x:c r="E89" s="34" t="str">
        <x:v>Ludwig Maximilian University of Munich</x:v>
      </x:c>
      <x:c r="F89" s="34" t="str">
        <x:v>t.carell@lmu.de</x:v>
      </x:c>
      <x:c r="G89" s="46" t="str">
        <x:v>较高（近期论文通讯邮箱）</x:v>
      </x:c>
      <x:c r="H89" s="46" t="n">
        <x:v>2025</x:v>
      </x:c>
      <x:c r="I89" s="34" t="str">
        <x:v>RNA modifications and chemical biology</x:v>
      </x:c>
      <x:c r="J89" s="34" t="str">
        <x:v>epitranscriptomics and diagnostics</x:v>
      </x:c>
      <x:c r="K89" s="42" t="str">
        <x:v>中</x:v>
      </x:c>
      <x:c r="L89" s="52" t="n">
        <x:v>5</x:v>
      </x:c>
      <x:c r="M89" s="52" t="n">
        <x:v>3</x:v>
      </x:c>
      <x:c r="N89" s="52" t="n">
        <x:v>2</x:v>
      </x:c>
      <x:c r="O89" s="52" t="n">
        <x:v>1</x:v>
      </x:c>
      <x:c r="P89" s="52" t="n">
        <x:f>L89*7+M89*7+N89*10+O89*5</x:f>
        <x:v>81</x:v>
      </x:c>
      <x:c r="Q89" s="52" t="n">
        <x:f>MIN(100,P89+IF(D89="Germany",10,0))</x:f>
        <x:v>91</x:v>
      </x:c>
      <x:c r="R89" s="34" t="str">
        <x:v>Structural and biochemical characterization of yeast Tcd enzymes installing the post-transcriptional modification ct6A in tRNA</x:v>
      </x:c>
      <x:c r="S89" s="28" t="str">
        <x:v>Nucleic Acids Research</x:v>
      </x:c>
      <x:c r="T89" s="42" t="n">
        <x:v>2026</x:v>
      </x:c>
      <x:c r="U89" s="49" t="n">
        <x:v>15</x:v>
      </x:c>
      <x:c r="V89" s="42" t="n">
        <x:v>2025</x:v>
      </x:c>
      <x:c r="W89" s="28" t="str">
        <x:v>https://doi.org/10.1093/nar/gkag376</x:v>
      </x:c>
      <x:c r="X89" s="28" t="str">
        <x:v>https://academic.oup.com/nar/pages/about</x:v>
      </x:c>
      <x:c r="Y89" s="28" t="str">
        <x:v>https://europepmc.org/articles/PMC12830177</x:v>
      </x:c>
      <x:c r="Z89" s="28" t="str">
        <x:v>https://openalex.org/A5026032684</x:v>
      </x:c>
      <x:c r="AA89" s="28" t="str">
        <x:v>https://orcid.org/0000-0001-7898-2831</x:v>
      </x:c>
      <x:c r="AB89" s="28" t="str">
        <x:v>需复核</x:v>
      </x:c>
      <x:c r="AC89" s="34" t="str">
        <x:v>OpenAlex当前机构国家未匹配/数据可能滞后；建议发送前再用机构官网确认</x:v>
      </x:c>
      <x:c r="AD89" s="37" t="str"/>
    </x:row>
    <x:row r="90">
      <x:c r="A90" s="41" t="n">
        <x:v>86</x:v>
      </x:c>
      <x:c r="B90" s="42" t="str">
        <x:f>IF(Q90&gt;=95,"A-优先联系",IF(Q90&gt;=85,"B-重点关注","C-补充候选"))</x:f>
        <x:v>B-重点关注</x:v>
      </x:c>
      <x:c r="C90" s="28" t="str">
        <x:v>Eckart Meese</x:v>
      </x:c>
      <x:c r="D90" s="28" t="str">
        <x:v>Germany</x:v>
      </x:c>
      <x:c r="E90" s="34" t="str">
        <x:v>Saarland University Hospital</x:v>
      </x:c>
      <x:c r="F90" s="34" t="str">
        <x:v>laura.groeger@uks.eu</x:v>
      </x:c>
      <x:c r="G90" s="46" t="str">
        <x:v>低（疑似合作者邮箱）</x:v>
      </x:c>
      <x:c r="H90" s="46" t="n">
        <x:v>2026</x:v>
      </x:c>
      <x:c r="I90" s="34" t="str">
        <x:v>miRNA and molecular biomarkers</x:v>
      </x:c>
      <x:c r="J90" s="34" t="str">
        <x:v>cancer diagnostics</x:v>
      </x:c>
      <x:c r="K90" s="42" t="str">
        <x:v>高</x:v>
      </x:c>
      <x:c r="L90" s="52" t="n">
        <x:v>5</x:v>
      </x:c>
      <x:c r="M90" s="52" t="n">
        <x:v>5</x:v>
      </x:c>
      <x:c r="N90" s="52" t="n">
        <x:v>0</x:v>
      </x:c>
      <x:c r="O90" s="52" t="n">
        <x:v>2</x:v>
      </x:c>
      <x:c r="P90" s="52" t="n">
        <x:f>L90*7+M90*7+N90*10+O90*5</x:f>
        <x:v>80</x:v>
      </x:c>
      <x:c r="Q90" s="52" t="n">
        <x:f>MIN(100,P90+IF(D90="Germany",10,0))</x:f>
        <x:v>90</x:v>
      </x:c>
      <x:c r="R90" s="34" t="str">
        <x:v>A single-cell atlas to map sex-specific gene-expression changes in blood upon neurodegeneration</x:v>
      </x:c>
      <x:c r="S90" s="28" t="str">
        <x:v>Nature Communications</x:v>
      </x:c>
      <x:c r="T90" s="42" t="n">
        <x:v>2025</x:v>
      </x:c>
      <x:c r="U90" s="49" t="n">
        <x:v>18.1</x:v>
      </x:c>
      <x:c r="V90" s="42" t="n">
        <x:v>2025</x:v>
      </x:c>
      <x:c r="W90" s="28" t="str">
        <x:v>https://doi.org/10.1038/s41467-025-56833-7</x:v>
      </x:c>
      <x:c r="X90" s="28" t="str">
        <x:v>https://www.nature.com/ncomms/ncomms/journal-impact</x:v>
      </x:c>
      <x:c r="Y90" s="28" t="str">
        <x:v>https://europepmc.org/articles/PMC12928640</x:v>
      </x:c>
      <x:c r="Z90" s="28" t="str">
        <x:v>https://openalex.org/A5054514348</x:v>
      </x:c>
      <x:c r="AA90" s="28" t="str">
        <x:v>https://orcid.org/0000-0001-7569-819X</x:v>
      </x:c>
      <x:c r="AB90" s="28" t="str">
        <x:v>是</x:v>
      </x:c>
      <x:c r="AC90" s="34" t="str">
        <x:v>邮箱与PI姓名不匹配，不建议直接使用</x:v>
      </x:c>
      <x:c r="AD90" s="37" t="str">
        <x:v>Saarland University</x:v>
      </x:c>
    </x:row>
    <x:row r="91">
      <x:c r="A91" s="41" t="n">
        <x:v>87</x:v>
      </x:c>
      <x:c r="B91" s="42" t="str">
        <x:f>IF(Q91&gt;=95,"A-优先联系",IF(Q91&gt;=85,"B-重点关注","C-补充候选"))</x:f>
        <x:v>B-重点关注</x:v>
      </x:c>
      <x:c r="C91" s="28" t="str">
        <x:v>Emmanuelle Charpentier</x:v>
      </x:c>
      <x:c r="D91" s="28" t="str">
        <x:v>Germany</x:v>
      </x:c>
      <x:c r="E91" s="34" t="str">
        <x:v>Max Planck Unit for the Science of Pathogens</x:v>
      </x:c>
      <x:c r="F91" s="34" t="str">
        <x:v>research@emmanuelle-charpentier.org</x:v>
      </x:c>
      <x:c r="G91" s="46" t="str">
        <x:v>低（疑似合作者邮箱）</x:v>
      </x:c>
      <x:c r="H91" s="46" t="n">
        <x:v>2026</x:v>
      </x:c>
      <x:c r="I91" s="34" t="str">
        <x:v>RNA-guided genome editing and bacterial RNA biology</x:v>
      </x:c>
      <x:c r="J91" s="34" t="str">
        <x:v>gene and cell therapy</x:v>
      </x:c>
      <x:c r="K91" s="42" t="str">
        <x:v>高</x:v>
      </x:c>
      <x:c r="L91" s="52" t="n">
        <x:v>5</x:v>
      </x:c>
      <x:c r="M91" s="52" t="n">
        <x:v>5</x:v>
      </x:c>
      <x:c r="N91" s="52" t="n">
        <x:v>0</x:v>
      </x:c>
      <x:c r="O91" s="52" t="n">
        <x:v>2</x:v>
      </x:c>
      <x:c r="P91" s="52" t="n">
        <x:f>L91*7+M91*7+N91*10+O91*5</x:f>
        <x:v>80</x:v>
      </x:c>
      <x:c r="Q91" s="52" t="n">
        <x:f>MIN(100,P91+IF(D91="Germany",10,0))</x:f>
        <x:v>90</x:v>
      </x:c>
      <x:c r="R91" s="34" t="str">
        <x:v>Insights into spacer acquisition of the type V-A CRISPR–Cas system of &lt;i&gt;Francisella novicida&lt;/i&gt; U112</x:v>
      </x:c>
      <x:c r="S91" s="28" t="str">
        <x:v>Nucleic Acids Research</x:v>
      </x:c>
      <x:c r="T91" s="42" t="n">
        <x:v>2026</x:v>
      </x:c>
      <x:c r="U91" s="49" t="n">
        <x:v>15</x:v>
      </x:c>
      <x:c r="V91" s="42" t="n">
        <x:v>2025</x:v>
      </x:c>
      <x:c r="W91" s="28" t="str">
        <x:v>https://doi.org/10.1093/nar/gkag276</x:v>
      </x:c>
      <x:c r="X91" s="28" t="str">
        <x:v>https://academic.oup.com/nar/pages/about</x:v>
      </x:c>
      <x:c r="Y91" s="28" t="str">
        <x:v>https://europepmc.org/articles/PMC13034035</x:v>
      </x:c>
      <x:c r="Z91" s="28" t="str">
        <x:v>https://openalex.org/A5074743574</x:v>
      </x:c>
      <x:c r="AA91" s="28" t="str">
        <x:v>https://orcid.org/0000-0002-0254-0778</x:v>
      </x:c>
      <x:c r="AB91" s="28" t="str">
        <x:v>是</x:v>
      </x:c>
      <x:c r="AC91" s="34" t="str">
        <x:v>邮箱与PI姓名不匹配，不建议直接使用</x:v>
      </x:c>
      <x:c r="AD91" s="37" t="str">
        <x:v>Humboldt-Universität zu Berlin | Max Planck Institute for the History of Science | Max Planck Unit for the Science of Pathogens | Charité - Universitätsmedizin Berlin</x:v>
      </x:c>
    </x:row>
    <x:row r="92">
      <x:c r="A92" s="41" t="n">
        <x:v>88</x:v>
      </x:c>
      <x:c r="B92" s="42" t="str">
        <x:f>IF(Q92&gt;=95,"A-优先联系",IF(Q92&gt;=85,"B-重点关注","C-补充候选"))</x:f>
        <x:v>B-重点关注</x:v>
      </x:c>
      <x:c r="C92" s="28" t="str">
        <x:v>Gunhild Maelandsmo</x:v>
      </x:c>
      <x:c r="D92" s="28" t="str">
        <x:v>Norway</x:v>
      </x:c>
      <x:c r="E92" s="34" t="str">
        <x:v>Oslo University Hospital</x:v>
      </x:c>
      <x:c r="F92" s="34" t="str">
        <x:v>gunhild.mari.malandsmo@rr-research.no</x:v>
      </x:c>
      <x:c r="G92" s="46" t="str">
        <x:v>中等（较早论文通讯邮箱）</x:v>
      </x:c>
      <x:c r="H92" s="46" t="n">
        <x:v>2019</x:v>
      </x:c>
      <x:c r="I92" s="34" t="str">
        <x:v>RNA biomarkers and metastasis</x:v>
      </x:c>
      <x:c r="J92" s="34" t="str">
        <x:v>cancer</x:v>
      </x:c>
      <x:c r="K92" s="42" t="str">
        <x:v>高</x:v>
      </x:c>
      <x:c r="L92" s="52" t="n">
        <x:v>5</x:v>
      </x:c>
      <x:c r="M92" s="52" t="n">
        <x:v>5</x:v>
      </x:c>
      <x:c r="N92" s="52" t="n">
        <x:v>1</x:v>
      </x:c>
      <x:c r="O92" s="52" t="n">
        <x:v>2</x:v>
      </x:c>
      <x:c r="P92" s="52" t="n">
        <x:f>L92*7+M92*7+N92*10+O92*5</x:f>
        <x:v>90</x:v>
      </x:c>
      <x:c r="Q92" s="52" t="n">
        <x:f>MIN(100,P92+IF(D92="Germany",10,0))</x:f>
        <x:v>90</x:v>
      </x:c>
      <x:c r="R92" s="34" t="str">
        <x:v>Abstract 5627: Spatial protein profiling by cyclic immunofluorescence to interpret and improve bulk tumor-based predictor of response to chemotherapy with bevacizumab in neoadjuvant breast cancer treatment</x:v>
      </x:c>
      <x:c r="S92" s="28" t="str">
        <x:v>Cancer Research</x:v>
      </x:c>
      <x:c r="T92" s="42" t="n">
        <x:v>2023</x:v>
      </x:c>
      <x:c r="U92" s="49" t="n">
        <x:v>12.5</x:v>
      </x:c>
      <x:c r="V92" s="42" t="n">
        <x:v>2024</x:v>
      </x:c>
      <x:c r="W92" s="28" t="str">
        <x:v>https://doi.org/10.1158/1538-7445.am2023-5627</x:v>
      </x:c>
      <x:c r="X92" s="28" t="str">
        <x:v>https://aacrjournals.org/cancerres/pages/about</x:v>
      </x:c>
      <x:c r="Y92" s="28" t="str">
        <x:v>https://europepmc.org/articles/PMC6520638</x:v>
      </x:c>
      <x:c r="Z92" s="28" t="str">
        <x:v>https://openalex.org/A5053950619</x:v>
      </x:c>
      <x:c r="AA92" s="28" t="str">
        <x:v>https://orcid.org/0000-0002-4797-1600</x:v>
      </x:c>
      <x:c r="AB92" s="28" t="str">
        <x:v>是</x:v>
      </x:c>
      <x:c r="AC92" s="34" t="str">
        <x:v>邮箱来源较早，发送前必须复核</x:v>
      </x:c>
      <x:c r="AD92" s="37" t="str">
        <x:v>Oslo University Hospital | UiT The Arctic University of Norway</x:v>
      </x:c>
    </x:row>
    <x:row r="93">
      <x:c r="A93" s="41" t="n">
        <x:v>89</x:v>
      </x:c>
      <x:c r="B93" s="42" t="str">
        <x:f>IF(Q93&gt;=95,"A-优先联系",IF(Q93&gt;=85,"B-重点关注","C-补充候选"))</x:f>
        <x:v>B-重点关注</x:v>
      </x:c>
      <x:c r="C93" s="28" t="str">
        <x:v>Benedikt Beckmann</x:v>
      </x:c>
      <x:c r="D93" s="28" t="str">
        <x:v>Germany</x:v>
      </x:c>
      <x:c r="E93" s="34" t="str">
        <x:v>Freie Universitat Berlin</x:v>
      </x:c>
      <x:c r="F93" s="34" t="str">
        <x:v>benedikt.beckmann@iri-lifesciences.de</x:v>
      </x:c>
      <x:c r="G93" s="46" t="str">
        <x:v>中等（较早论文通讯邮箱）</x:v>
      </x:c>
      <x:c r="H93" s="46" t="n">
        <x:v>2019</x:v>
      </x:c>
      <x:c r="I93" s="34" t="str">
        <x:v>RNA-protein interactions and RNA interactomics</x:v>
      </x:c>
      <x:c r="J93" s="34" t="str">
        <x:v>infection and stress-response mechanisms</x:v>
      </x:c>
      <x:c r="K93" s="42" t="str">
        <x:v>中</x:v>
      </x:c>
      <x:c r="L93" s="52" t="n">
        <x:v>5</x:v>
      </x:c>
      <x:c r="M93" s="52" t="n">
        <x:v>3</x:v>
      </x:c>
      <x:c r="N93" s="52" t="n">
        <x:v>1</x:v>
      </x:c>
      <x:c r="O93" s="52" t="n">
        <x:v>2</x:v>
      </x:c>
      <x:c r="P93" s="52" t="n">
        <x:f>L93*7+M93*7+N93*10+O93*5</x:f>
        <x:v>76</x:v>
      </x:c>
      <x:c r="Q93" s="52" t="n">
        <x:f>MIN(100,P93+IF(D93="Germany",10,0))</x:f>
        <x:v>86</x:v>
      </x:c>
      <x:c r="R93" s="34" t="str">
        <x:v>Giant magnetocaloric effect in a rare-earth-free layered coordination polymer at liquid hydrogen temperatures</x:v>
      </x:c>
      <x:c r="S93" s="28" t="str">
        <x:v>Nature Communications</x:v>
      </x:c>
      <x:c r="T93" s="42" t="n">
        <x:v>2024</x:v>
      </x:c>
      <x:c r="U93" s="49" t="n">
        <x:v>18.1</x:v>
      </x:c>
      <x:c r="V93" s="42" t="n">
        <x:v>2025</x:v>
      </x:c>
      <x:c r="W93" s="28" t="str">
        <x:v>https://doi.org/10.1038/s41467-024-52837-x</x:v>
      </x:c>
      <x:c r="X93" s="28" t="str">
        <x:v>https://www.nature.com/ncomms/ncomms/journal-impact</x:v>
      </x:c>
      <x:c r="Y93" s="28" t="str">
        <x:v>https://europepmc.org/articles/PMC6511874</x:v>
      </x:c>
      <x:c r="Z93" s="28" t="str">
        <x:v>https://openalex.org/A5015124424</x:v>
      </x:c>
      <x:c r="AA93" s="28" t="str">
        <x:v>https://orcid.org/0000-0002-2232-1804</x:v>
      </x:c>
      <x:c r="AB93" s="28" t="str">
        <x:v>是</x:v>
      </x:c>
      <x:c r="AC93" s="34" t="str">
        <x:v>代表作标题未直接出现RNA关键词，但研究方向属于RNA范围；邮箱来源较早，发送前必须复核</x:v>
      </x:c>
      <x:c r="AD93" s="37" t="str">
        <x:v>Technische Universität Darmstadt</x:v>
      </x:c>
    </x:row>
    <x:row r="94">
      <x:c r="A94" s="41" t="n">
        <x:v>90</x:v>
      </x:c>
      <x:c r="B94" s="42" t="str">
        <x:f>IF(Q94&gt;=95,"A-优先联系",IF(Q94&gt;=85,"B-重点关注","C-补充候选"))</x:f>
        <x:v>B-重点关注</x:v>
      </x:c>
      <x:c r="C94" s="28" t="str">
        <x:v>Alexander van Oudenaarden</x:v>
      </x:c>
      <x:c r="D94" s="28" t="str">
        <x:v>Netherlands</x:v>
      </x:c>
      <x:c r="E94" s="34" t="str">
        <x:v>Hubrecht Institute</x:v>
      </x:c>
      <x:c r="F94" s="34" t="str">
        <x:v>a.vanoudenaarden@hubrecht.eu</x:v>
      </x:c>
      <x:c r="G94" s="46" t="str">
        <x:v>较高（近期论文通讯邮箱）</x:v>
      </x:c>
      <x:c r="H94" s="46" t="n">
        <x:v>2026</x:v>
      </x:c>
      <x:c r="I94" s="34" t="str">
        <x:v>Single-cell transcriptomics and quantitative biology</x:v>
      </x:c>
      <x:c r="J94" s="34" t="str">
        <x:v>development and disease models</x:v>
      </x:c>
      <x:c r="K94" s="42" t="str">
        <x:v>中</x:v>
      </x:c>
      <x:c r="L94" s="52" t="n">
        <x:v>5</x:v>
      </x:c>
      <x:c r="M94" s="52" t="n">
        <x:v>3</x:v>
      </x:c>
      <x:c r="N94" s="52" t="n">
        <x:v>2</x:v>
      </x:c>
      <x:c r="O94" s="52" t="n">
        <x:v>2</x:v>
      </x:c>
      <x:c r="P94" s="52" t="n">
        <x:f>L94*7+M94*7+N94*10+O94*5</x:f>
        <x:v>86</x:v>
      </x:c>
      <x:c r="Q94" s="52" t="n">
        <x:f>MIN(100,P94+IF(D94="Germany",10,0))</x:f>
        <x:v>86</x:v>
      </x:c>
      <x:c r="R94" s="34" t="str">
        <x:v>Single-cell multi-omic detection of DNA methylation and histone modifications reconstructs the dynamics of epigenomic maintenance</x:v>
      </x:c>
      <x:c r="S94" s="28" t="str">
        <x:v>Nature Methods</x:v>
      </x:c>
      <x:c r="T94" s="42" t="n">
        <x:v>2025</x:v>
      </x:c>
      <x:c r="U94" s="49" t="n">
        <x:v>32.1</x:v>
      </x:c>
      <x:c r="V94" s="42" t="n">
        <x:v>2024</x:v>
      </x:c>
      <x:c r="W94" s="28" t="str">
        <x:v>https://doi.org/10.1038/s41592-025-02847-4</x:v>
      </x:c>
      <x:c r="X94" s="28" t="str">
        <x:v>https://www.nature.com/nmeth/journal-impact</x:v>
      </x:c>
      <x:c r="Y94" s="28" t="str">
        <x:v>https://europepmc.org/articles/PMC13099137</x:v>
      </x:c>
      <x:c r="Z94" s="28" t="str">
        <x:v>https://openalex.org/A5035202405</x:v>
      </x:c>
      <x:c r="AA94" s="28" t="str">
        <x:v>https://orcid.org/0000-0002-9442-3551</x:v>
      </x:c>
      <x:c r="AB94" s="28" t="str">
        <x:v>是</x:v>
      </x:c>
      <x:c r="AC94" s="34" t="str">
        <x:v>建议发送前再用机构官网确认</x:v>
      </x:c>
      <x:c r="AD94" s="37" t="str">
        <x:v>University Medical Center Utrecht | Oncode Institute | Hubrecht Institute for Developmental Biology and Stem Cell Research</x:v>
      </x:c>
    </x:row>
    <x:row r="95">
      <x:c r="A95" s="41" t="n">
        <x:v>91</x:v>
      </x:c>
      <x:c r="B95" s="42" t="str">
        <x:f>IF(Q95&gt;=95,"A-优先联系",IF(Q95&gt;=85,"B-重点关注","C-补充候选"))</x:f>
        <x:v>B-重点关注</x:v>
      </x:c>
      <x:c r="C95" s="28" t="str">
        <x:v>Anders Krogh</x:v>
      </x:c>
      <x:c r="D95" s="28" t="str">
        <x:v>Denmark</x:v>
      </x:c>
      <x:c r="E95" s="34" t="str">
        <x:v>University of Copenhagen</x:v>
      </x:c>
      <x:c r="F95" s="34" t="str">
        <x:v>akrogh@di.ku.dk</x:v>
      </x:c>
      <x:c r="G95" s="46" t="str">
        <x:v>较高（近期论文通讯邮箱）</x:v>
      </x:c>
      <x:c r="H95" s="46" t="n">
        <x:v>2026</x:v>
      </x:c>
      <x:c r="I95" s="34" t="str">
        <x:v>Computational genomics and RNA bioinformatics</x:v>
      </x:c>
      <x:c r="J95" s="34" t="str">
        <x:v>genetic disease</x:v>
      </x:c>
      <x:c r="K95" s="42" t="str">
        <x:v>中</x:v>
      </x:c>
      <x:c r="L95" s="52" t="n">
        <x:v>5</x:v>
      </x:c>
      <x:c r="M95" s="52" t="n">
        <x:v>3</x:v>
      </x:c>
      <x:c r="N95" s="52" t="n">
        <x:v>2</x:v>
      </x:c>
      <x:c r="O95" s="52" t="n">
        <x:v>2</x:v>
      </x:c>
      <x:c r="P95" s="52" t="n">
        <x:f>L95*7+M95*7+N95*10+O95*5</x:f>
        <x:v>86</x:v>
      </x:c>
      <x:c r="Q95" s="52" t="n">
        <x:f>MIN(100,P95+IF(D95="Germany",10,0))</x:f>
        <x:v>86</x:v>
      </x:c>
      <x:c r="R95" s="34" t="str">
        <x:v>Synthetic Data Generation By Artificial Intelligence to Accelerate Translational Research and Precision Medicine in Hematological Malignancies</x:v>
      </x:c>
      <x:c r="S95" s="28" t="str">
        <x:v>Blood</x:v>
      </x:c>
      <x:c r="T95" s="42" t="n">
        <x:v>2022</x:v>
      </x:c>
      <x:c r="U95" s="49" t="n">
        <x:v>21</x:v>
      </x:c>
      <x:c r="V95" s="42" t="n">
        <x:v>2024</x:v>
      </x:c>
      <x:c r="W95" s="28" t="str">
        <x:v>https://doi.org/10.1182/blood-2022-168646</x:v>
      </x:c>
      <x:c r="X95" s="28" t="str">
        <x:v>https://ashpublications.org/blood/pages/about</x:v>
      </x:c>
      <x:c r="Y95" s="28" t="str">
        <x:v>https://europepmc.org/articles/PMC13173506</x:v>
      </x:c>
      <x:c r="Z95" s="28" t="str">
        <x:v>https://openalex.org/A5083542637</x:v>
      </x:c>
      <x:c r="AA95" s="28" t="str">
        <x:v>https://orcid.org/0000-0002-5147-6282</x:v>
      </x:c>
      <x:c r="AB95" s="28" t="str">
        <x:v>是</x:v>
      </x:c>
      <x:c r="AC95" s="34" t="str">
        <x:v>建议发送前再用机构官网确认</x:v>
      </x:c>
      <x:c r="AD95" s="37" t="str">
        <x:v>University of Copenhagen | Centre for Quantum Computation and Communication Technology | Rainforest Foundation Norway | Capital Region of Denmark</x:v>
      </x:c>
    </x:row>
    <x:row r="96">
      <x:c r="A96" s="41" t="n">
        <x:v>92</x:v>
      </x:c>
      <x:c r="B96" s="42" t="str">
        <x:f>IF(Q96&gt;=95,"A-优先联系",IF(Q96&gt;=85,"B-重点关注","C-补充候选"))</x:f>
        <x:v>B-重点关注</x:v>
      </x:c>
      <x:c r="C96" s="28" t="str">
        <x:v>Carrie Bernecky</x:v>
      </x:c>
      <x:c r="D96" s="28" t="str">
        <x:v>Austria</x:v>
      </x:c>
      <x:c r="E96" s="34" t="str">
        <x:v>Institute of Science and Technology Austria</x:v>
      </x:c>
      <x:c r="F96" s="34" t="str">
        <x:v>carrie.bernecky@ist.ac.at</x:v>
      </x:c>
      <x:c r="G96" s="46" t="str">
        <x:v>较高（近期论文通讯邮箱）</x:v>
      </x:c>
      <x:c r="H96" s="46" t="n">
        <x:v>2025</x:v>
      </x:c>
      <x:c r="I96" s="34" t="str">
        <x:v>Transcription and RNA polymerase structural biology</x:v>
      </x:c>
      <x:c r="J96" s="34" t="str">
        <x:v>transcriptional disease mechanisms</x:v>
      </x:c>
      <x:c r="K96" s="42" t="str">
        <x:v>中</x:v>
      </x:c>
      <x:c r="L96" s="52" t="n">
        <x:v>5</x:v>
      </x:c>
      <x:c r="M96" s="52" t="n">
        <x:v>3</x:v>
      </x:c>
      <x:c r="N96" s="52" t="n">
        <x:v>2</x:v>
      </x:c>
      <x:c r="O96" s="52" t="n">
        <x:v>2</x:v>
      </x:c>
      <x:c r="P96" s="52" t="n">
        <x:f>L96*7+M96*7+N96*10+O96*5</x:f>
        <x:v>86</x:v>
      </x:c>
      <x:c r="Q96" s="52" t="n">
        <x:f>MIN(100,P96+IF(D96="Germany",10,0))</x:f>
        <x:v>86</x:v>
      </x:c>
      <x:c r="R96" s="34" t="str">
        <x:v>Structure of cytoplasmic RNA polymerase II</x:v>
      </x:c>
      <x:c r="S96" s="28" t="str">
        <x:v>Nature Communications</x:v>
      </x:c>
      <x:c r="T96" s="42" t="n">
        <x:v>2026</x:v>
      </x:c>
      <x:c r="U96" s="49" t="n">
        <x:v>18.1</x:v>
      </x:c>
      <x:c r="V96" s="42" t="n">
        <x:v>2025</x:v>
      </x:c>
      <x:c r="W96" s="28" t="str">
        <x:v>https://doi.org/10.1038/s41467-026-75416-8</x:v>
      </x:c>
      <x:c r="X96" s="28" t="str">
        <x:v>https://www.nature.com/ncomms/ncomms/journal-impact</x:v>
      </x:c>
      <x:c r="Y96" s="28" t="str">
        <x:v>https://europepmc.org/articles/PMC12383584</x:v>
      </x:c>
      <x:c r="Z96" s="28" t="str">
        <x:v>https://openalex.org/A5065570966</x:v>
      </x:c>
      <x:c r="AA96" s="28" t="str">
        <x:v>https://orcid.org/0000-0003-0893-7036</x:v>
      </x:c>
      <x:c r="AB96" s="28" t="str">
        <x:v>是</x:v>
      </x:c>
      <x:c r="AC96" s="34" t="str">
        <x:v>建议发送前再用机构官网确认</x:v>
      </x:c>
      <x:c r="AD96" s="37" t="str">
        <x:v>Institute of Science and Technology Austria</x:v>
      </x:c>
    </x:row>
    <x:row r="97">
      <x:c r="A97" s="41" t="n">
        <x:v>93</x:v>
      </x:c>
      <x:c r="B97" s="42" t="str">
        <x:f>IF(Q97&gt;=95,"A-优先联系",IF(Q97&gt;=85,"B-重点关注","C-补充候选"))</x:f>
        <x:v>B-重点关注</x:v>
      </x:c>
      <x:c r="C97" s="28" t="str">
        <x:v>Donal O'Carroll</x:v>
      </x:c>
      <x:c r="D97" s="28" t="str">
        <x:v>United Kingdom</x:v>
      </x:c>
      <x:c r="E97" s="34" t="str">
        <x:v>University of Edinburgh</x:v>
      </x:c>
      <x:c r="F97" s="34" t="str">
        <x:v>donal.ocarroll@ed.ac.uk</x:v>
      </x:c>
      <x:c r="G97" s="46" t="str">
        <x:v>较高（近期论文通讯邮箱）</x:v>
      </x:c>
      <x:c r="H97" s="46" t="n">
        <x:v>2026</x:v>
      </x:c>
      <x:c r="I97" s="34" t="str">
        <x:v>RNA pathways and epitranscriptomics</x:v>
      </x:c>
      <x:c r="J97" s="34" t="str">
        <x:v>germline disease and cancer</x:v>
      </x:c>
      <x:c r="K97" s="42" t="str">
        <x:v>中</x:v>
      </x:c>
      <x:c r="L97" s="52" t="n">
        <x:v>5</x:v>
      </x:c>
      <x:c r="M97" s="52" t="n">
        <x:v>3</x:v>
      </x:c>
      <x:c r="N97" s="52" t="n">
        <x:v>2</x:v>
      </x:c>
      <x:c r="O97" s="52" t="n">
        <x:v>2</x:v>
      </x:c>
      <x:c r="P97" s="52" t="n">
        <x:f>L97*7+M97*7+N97*10+O97*5</x:f>
        <x:v>86</x:v>
      </x:c>
      <x:c r="Q97" s="52" t="n">
        <x:f>MIN(100,P97+IF(D97="Germany",10,0))</x:f>
        <x:v>86</x:v>
      </x:c>
      <x:c r="R97" s="34" t="str">
        <x:v>A mammalian-like piRNA pathway in Axolotl reveals the origins of piRNA-directed DNA methylation</x:v>
      </x:c>
      <x:c r="S97" s="28" t="str">
        <x:v>The EMBO Journal</x:v>
      </x:c>
      <x:c r="T97" s="42" t="n">
        <x:v>2025</x:v>
      </x:c>
      <x:c r="U97" s="49" t="n">
        <x:v>9.4</x:v>
      </x:c>
      <x:c r="V97" s="42" t="n">
        <x:v>2024</x:v>
      </x:c>
      <x:c r="W97" s="28" t="str">
        <x:v>https://doi.org/10.1038/s44318-025-00631-w</x:v>
      </x:c>
      <x:c r="X97" s="28" t="str">
        <x:v>https://www.embopress.org/journal/14602075</x:v>
      </x:c>
      <x:c r="Y97" s="28" t="str">
        <x:v>https://europepmc.org/articles/PMC7618654</x:v>
      </x:c>
      <x:c r="Z97" s="28" t="str">
        <x:v>https://openalex.org/A5065765998</x:v>
      </x:c>
      <x:c r="AA97" s="28" t="str">
        <x:v>https://orcid.org/0000-0002-8626-2217</x:v>
      </x:c>
      <x:c r="AB97" s="28" t="str">
        <x:v>是</x:v>
      </x:c>
      <x:c r="AC97" s="34" t="str">
        <x:v>建议发送前再用机构官网确认</x:v>
      </x:c>
      <x:c r="AD97" s="37" t="str">
        <x:v>Wellcome Centre for Cell Biology</x:v>
      </x:c>
    </x:row>
    <x:row r="98">
      <x:c r="A98" s="41" t="n">
        <x:v>94</x:v>
      </x:c>
      <x:c r="B98" s="42" t="str">
        <x:f>IF(Q98&gt;=95,"A-优先联系",IF(Q98&gt;=85,"B-重点关注","C-补充候选"))</x:f>
        <x:v>B-重点关注</x:v>
      </x:c>
      <x:c r="C98" s="28" t="str">
        <x:v>Herve Seitz</x:v>
      </x:c>
      <x:c r="D98" s="28" t="str">
        <x:v>France</x:v>
      </x:c>
      <x:c r="E98" s="34" t="str">
        <x:v>IGMM Montpellier</x:v>
      </x:c>
      <x:c r="F98" s="34" t="str">
        <x:v>herve.seitz@igh.cnrs.fr</x:v>
      </x:c>
      <x:c r="G98" s="46" t="str">
        <x:v>较高（近期论文通讯邮箱）</x:v>
      </x:c>
      <x:c r="H98" s="46" t="n">
        <x:v>2024</x:v>
      </x:c>
      <x:c r="I98" s="34" t="str">
        <x:v>miRNA biology and post-transcriptional regulation</x:v>
      </x:c>
      <x:c r="J98" s="34" t="str">
        <x:v>cancer biology</x:v>
      </x:c>
      <x:c r="K98" s="42" t="str">
        <x:v>中</x:v>
      </x:c>
      <x:c r="L98" s="52" t="n">
        <x:v>5</x:v>
      </x:c>
      <x:c r="M98" s="52" t="n">
        <x:v>3</x:v>
      </x:c>
      <x:c r="N98" s="52" t="n">
        <x:v>2</x:v>
      </x:c>
      <x:c r="O98" s="52" t="n">
        <x:v>2</x:v>
      </x:c>
      <x:c r="P98" s="52" t="n">
        <x:f>L98*7+M98*7+N98*10+O98*5</x:f>
        <x:v>86</x:v>
      </x:c>
      <x:c r="Q98" s="52" t="n">
        <x:f>MIN(100,P98+IF(D98="Germany",10,0))</x:f>
        <x:v>86</x:v>
      </x:c>
      <x:c r="R98" s="34" t="str">
        <x:v>A new perspective on microRNA-guided gene regulation specificity, and its potential generalization to transcription factors and RNA-binding proteins</x:v>
      </x:c>
      <x:c r="S98" s="28" t="str">
        <x:v>Nucleic Acids Research</x:v>
      </x:c>
      <x:c r="T98" s="42" t="n">
        <x:v>2024</x:v>
      </x:c>
      <x:c r="U98" s="49" t="n">
        <x:v>15</x:v>
      </x:c>
      <x:c r="V98" s="42" t="n">
        <x:v>2025</x:v>
      </x:c>
      <x:c r="W98" s="28" t="str">
        <x:v>https://doi.org/10.1093/nar/gkae694</x:v>
      </x:c>
      <x:c r="X98" s="28" t="str">
        <x:v>https://academic.oup.com/nar/pages/about</x:v>
      </x:c>
      <x:c r="Y98" s="28" t="str">
        <x:v>https://europepmc.org/articles/PMC11381331</x:v>
      </x:c>
      <x:c r="Z98" s="28" t="str">
        <x:v>https://openalex.org/A5003397368</x:v>
      </x:c>
      <x:c r="AA98" s="28" t="str">
        <x:v>https://orcid.org/0000-0001-8172-5393</x:v>
      </x:c>
      <x:c r="AB98" s="28" t="str">
        <x:v>是</x:v>
      </x:c>
      <x:c r="AC98" s="34" t="str">
        <x:v>建议发送前再用机构官网确认</x:v>
      </x:c>
      <x:c r="AD98" s="37" t="str">
        <x:v>Centre National de la Recherche Scientifique | Université de Montpellier | Institut de Génétique Humaine</x:v>
      </x:c>
    </x:row>
    <x:row r="99">
      <x:c r="A99" s="41" t="n">
        <x:v>95</x:v>
      </x:c>
      <x:c r="B99" s="42" t="str">
        <x:f>IF(Q99&gt;=95,"A-优先联系",IF(Q99&gt;=85,"B-重点关注","C-补充候选"))</x:f>
        <x:v>B-重点关注</x:v>
      </x:c>
      <x:c r="C99" s="28" t="str">
        <x:v>Jerome Cavaille</x:v>
      </x:c>
      <x:c r="D99" s="28" t="str">
        <x:v>France</x:v>
      </x:c>
      <x:c r="E99" s="34" t="str">
        <x:v>University of Toulouse / CNRS</x:v>
      </x:c>
      <x:c r="F99" s="34" t="str">
        <x:v>jerome.cavaille@univ-tlse3.fr</x:v>
      </x:c>
      <x:c r="G99" s="46" t="str">
        <x:v>较高（近期论文通讯邮箱）</x:v>
      </x:c>
      <x:c r="H99" s="46" t="n">
        <x:v>2022</x:v>
      </x:c>
      <x:c r="I99" s="34" t="str">
        <x:v>Non-coding RNA and genomic imprinting</x:v>
      </x:c>
      <x:c r="J99" s="34" t="str">
        <x:v>neurodevelopmental disease</x:v>
      </x:c>
      <x:c r="K99" s="42" t="str">
        <x:v>中</x:v>
      </x:c>
      <x:c r="L99" s="52" t="n">
        <x:v>5</x:v>
      </x:c>
      <x:c r="M99" s="52" t="n">
        <x:v>3</x:v>
      </x:c>
      <x:c r="N99" s="52" t="n">
        <x:v>2</x:v>
      </x:c>
      <x:c r="O99" s="52" t="n">
        <x:v>2</x:v>
      </x:c>
      <x:c r="P99" s="52" t="n">
        <x:f>L99*7+M99*7+N99*10+O99*5</x:f>
        <x:v>86</x:v>
      </x:c>
      <x:c r="Q99" s="52" t="n">
        <x:f>MIN(100,P99+IF(D99="Germany",10,0))</x:f>
        <x:v>86</x:v>
      </x:c>
      <x:c r="R99" s="34" t="str">
        <x:v>Probing small ribosomal subunit RNA helix 45 acetylation across eukaryotic evolution</x:v>
      </x:c>
      <x:c r="S99" s="28" t="str">
        <x:v>Nucleic Acids Research</x:v>
      </x:c>
      <x:c r="T99" s="42" t="n">
        <x:v>2022</x:v>
      </x:c>
      <x:c r="U99" s="49" t="n">
        <x:v>15</x:v>
      </x:c>
      <x:c r="V99" s="42" t="n">
        <x:v>2025</x:v>
      </x:c>
      <x:c r="W99" s="28" t="str">
        <x:v>https://doi.org/10.1093/nar/gkac404</x:v>
      </x:c>
      <x:c r="X99" s="28" t="str">
        <x:v>https://academic.oup.com/nar/pages/about</x:v>
      </x:c>
      <x:c r="Y99" s="28" t="str">
        <x:v>https://europepmc.org/articles/PMC9670809</x:v>
      </x:c>
      <x:c r="Z99" s="28" t="str">
        <x:v>https://openalex.org/A5062507730</x:v>
      </x:c>
      <x:c r="AA99" s="28" t="str">
        <x:v>https://orcid.org/0000-0003-2833-6836</x:v>
      </x:c>
      <x:c r="AB99" s="28" t="str">
        <x:v>是</x:v>
      </x:c>
      <x:c r="AC99" s="34" t="str">
        <x:v>建议发送前再用机构官网确认</x:v>
      </x:c>
      <x:c r="AD99" s="37" t="str">
        <x:v>Centre National de la Recherche Scientifique | Centre de Biologie du Développement</x:v>
      </x:c>
    </x:row>
    <x:row r="100">
      <x:c r="A100" s="41" t="n">
        <x:v>96</x:v>
      </x:c>
      <x:c r="B100" s="42" t="str">
        <x:f>IF(Q100&gt;=95,"A-优先联系",IF(Q100&gt;=85,"B-重点关注","C-补充候选"))</x:f>
        <x:v>B-重点关注</x:v>
      </x:c>
      <x:c r="C100" s="28" t="str">
        <x:v>Joost Gribnau</x:v>
      </x:c>
      <x:c r="D100" s="28" t="str">
        <x:v>Netherlands</x:v>
      </x:c>
      <x:c r="E100" s="34" t="str">
        <x:v>Erasmus University Medical Center</x:v>
      </x:c>
      <x:c r="F100" s="34" t="str">
        <x:v>j.gribnau@erasmusmc.nl</x:v>
      </x:c>
      <x:c r="G100" s="46" t="str">
        <x:v>较高（近期论文通讯邮箱）</x:v>
      </x:c>
      <x:c r="H100" s="46" t="n">
        <x:v>2025</x:v>
      </x:c>
      <x:c r="I100" s="34" t="str">
        <x:v>Long non-coding RNA and X-chromosome regulation</x:v>
      </x:c>
      <x:c r="J100" s="34" t="str">
        <x:v>developmental disease</x:v>
      </x:c>
      <x:c r="K100" s="42" t="str">
        <x:v>中</x:v>
      </x:c>
      <x:c r="L100" s="52" t="n">
        <x:v>5</x:v>
      </x:c>
      <x:c r="M100" s="52" t="n">
        <x:v>3</x:v>
      </x:c>
      <x:c r="N100" s="52" t="n">
        <x:v>2</x:v>
      </x:c>
      <x:c r="O100" s="52" t="n">
        <x:v>2</x:v>
      </x:c>
      <x:c r="P100" s="52" t="n">
        <x:f>L100*7+M100*7+N100*10+O100*5</x:f>
        <x:v>86</x:v>
      </x:c>
      <x:c r="Q100" s="52" t="n">
        <x:f>MIN(100,P100+IF(D100="Germany",10,0))</x:f>
        <x:v>86</x:v>
      </x:c>
      <x:c r="R100" s="34" t="str">
        <x:v>X-chromosome upregulation operates on a gene-by-gene basis at RNA and protein levels</x:v>
      </x:c>
      <x:c r="S100" s="28" t="str">
        <x:v>Nature Communications</x:v>
      </x:c>
      <x:c r="T100" s="42" t="n">
        <x:v>2025</x:v>
      </x:c>
      <x:c r="U100" s="49" t="n">
        <x:v>18.1</x:v>
      </x:c>
      <x:c r="V100" s="42" t="n">
        <x:v>2025</x:v>
      </x:c>
      <x:c r="W100" s="28" t="str">
        <x:v>https://doi.org/10.1038/s41467-025-64195-3</x:v>
      </x:c>
      <x:c r="X100" s="28" t="str">
        <x:v>https://www.nature.com/ncomms/ncomms/journal-impact</x:v>
      </x:c>
      <x:c r="Y100" s="28" t="str">
        <x:v>https://europepmc.org/articles/PMC12484829</x:v>
      </x:c>
      <x:c r="Z100" s="28" t="str">
        <x:v>https://openalex.org/A5090734944</x:v>
      </x:c>
      <x:c r="AA100" s="28" t="str">
        <x:v>https://orcid.org/0000-0001-5645-4691</x:v>
      </x:c>
      <x:c r="AB100" s="28" t="str">
        <x:v>是</x:v>
      </x:c>
      <x:c r="AC100" s="34" t="str">
        <x:v>建议发送前再用机构官网确认</x:v>
      </x:c>
      <x:c r="AD100" s="37" t="str">
        <x:v>Erasmus MC | Erasmus University Rotterdam</x:v>
      </x:c>
    </x:row>
    <x:row r="101">
      <x:c r="A101" s="41" t="n">
        <x:v>97</x:v>
      </x:c>
      <x:c r="B101" s="42" t="str">
        <x:f>IF(Q101&gt;=95,"A-优先联系",IF(Q101&gt;=85,"B-重点关注","C-补充候选"))</x:f>
        <x:v>B-重点关注</x:v>
      </x:c>
      <x:c r="C101" s="28" t="str">
        <x:v>Katja Petzold</x:v>
      </x:c>
      <x:c r="D101" s="28" t="str">
        <x:v>Sweden</x:v>
      </x:c>
      <x:c r="E101" s="34" t="str">
        <x:v>Karolinska Institutet</x:v>
      </x:c>
      <x:c r="F101" s="34" t="str">
        <x:v>katja.petzold@imbim.uu.se</x:v>
      </x:c>
      <x:c r="G101" s="46" t="str">
        <x:v>较高（近期论文通讯邮箱）</x:v>
      </x:c>
      <x:c r="H101" s="46" t="n">
        <x:v>2026</x:v>
      </x:c>
      <x:c r="I101" s="34" t="str">
        <x:v>RNA structure and dynamics</x:v>
      </x:c>
      <x:c r="J101" s="34" t="str">
        <x:v>viral and RNA-targeted therapeutics</x:v>
      </x:c>
      <x:c r="K101" s="42" t="str">
        <x:v>中</x:v>
      </x:c>
      <x:c r="L101" s="52" t="n">
        <x:v>5</x:v>
      </x:c>
      <x:c r="M101" s="52" t="n">
        <x:v>3</x:v>
      </x:c>
      <x:c r="N101" s="52" t="n">
        <x:v>2</x:v>
      </x:c>
      <x:c r="O101" s="52" t="n">
        <x:v>2</x:v>
      </x:c>
      <x:c r="P101" s="52" t="n">
        <x:f>L101*7+M101*7+N101*10+O101*5</x:f>
        <x:v>86</x:v>
      </x:c>
      <x:c r="Q101" s="52" t="n">
        <x:f>MIN(100,P101+IF(D101="Germany",10,0))</x:f>
        <x:v>86</x:v>
      </x:c>
      <x:c r="R101" s="34" t="str">
        <x:v>Targeted NMR signal enhancement of RNA by site-directed bis-nitroxide labeling</x:v>
      </x:c>
      <x:c r="S101" s="28" t="str">
        <x:v>Proceedings of the National Academy of Sciences</x:v>
      </x:c>
      <x:c r="T101" s="42" t="n">
        <x:v>2026</x:v>
      </x:c>
      <x:c r="U101" s="49" t="n">
        <x:v>9.4</x:v>
      </x:c>
      <x:c r="V101" s="42" t="n">
        <x:v>2024</x:v>
      </x:c>
      <x:c r="W101" s="28" t="str">
        <x:v>https://doi.org/10.1073/pnas.2531087123</x:v>
      </x:c>
      <x:c r="X101" s="28" t="str">
        <x:v>https://www.pnas.org/about</x:v>
      </x:c>
      <x:c r="Y101" s="28" t="str">
        <x:v>https://europepmc.org/articles/PMC13150003</x:v>
      </x:c>
      <x:c r="Z101" s="28" t="str">
        <x:v>https://openalex.org/A5053708779</x:v>
      </x:c>
      <x:c r="AA101" s="28" t="str">
        <x:v>https://orcid.org/0000-0001-9470-0347</x:v>
      </x:c>
      <x:c r="AB101" s="28" t="str">
        <x:v>是</x:v>
      </x:c>
      <x:c r="AC101" s="34" t="str">
        <x:v>建议发送前再用机构官网确认</x:v>
      </x:c>
      <x:c r="AD101" s="37" t="str">
        <x:v>Science for Life Laboratory | Karolinska Institutet</x:v>
      </x:c>
    </x:row>
    <x:row r="102">
      <x:c r="A102" s="41" t="n">
        <x:v>98</x:v>
      </x:c>
      <x:c r="B102" s="42" t="str">
        <x:f>IF(Q102&gt;=95,"A-优先联系",IF(Q102&gt;=85,"B-重点关注","C-补充候选"))</x:f>
        <x:v>B-重点关注</x:v>
      </x:c>
      <x:c r="C102" s="28" t="str">
        <x:v>Lars Juhl Jensen</x:v>
      </x:c>
      <x:c r="D102" s="28" t="str">
        <x:v>Denmark</x:v>
      </x:c>
      <x:c r="E102" s="34" t="str">
        <x:v>University of Copenhagen</x:v>
      </x:c>
      <x:c r="F102" s="34" t="str">
        <x:v>larsjuhl.jensen@zs.com</x:v>
      </x:c>
      <x:c r="G102" s="46" t="str">
        <x:v>较高（近期论文通讯邮箱）</x:v>
      </x:c>
      <x:c r="H102" s="46" t="n">
        <x:v>2025</x:v>
      </x:c>
      <x:c r="I102" s="34" t="str">
        <x:v>Disease genomics, transcriptomics and network biology</x:v>
      </x:c>
      <x:c r="J102" s="34" t="str">
        <x:v>precision medicine</x:v>
      </x:c>
      <x:c r="K102" s="42" t="str">
        <x:v>中</x:v>
      </x:c>
      <x:c r="L102" s="52" t="n">
        <x:v>5</x:v>
      </x:c>
      <x:c r="M102" s="52" t="n">
        <x:v>3</x:v>
      </x:c>
      <x:c r="N102" s="52" t="n">
        <x:v>2</x:v>
      </x:c>
      <x:c r="O102" s="52" t="n">
        <x:v>2</x:v>
      </x:c>
      <x:c r="P102" s="52" t="n">
        <x:f>L102*7+M102*7+N102*10+O102*5</x:f>
        <x:v>86</x:v>
      </x:c>
      <x:c r="Q102" s="52" t="n">
        <x:f>MIN(100,P102+IF(D102="Germany",10,0))</x:f>
        <x:v>86</x:v>
      </x:c>
      <x:c r="R102" s="34" t="str">
        <x:v>Loss of N-terminal acetyltransferase A activity induces thermally unstable ribosomal proteins and increases their turnover in Saccharomyces cerevisiae</x:v>
      </x:c>
      <x:c r="S102" s="28" t="str">
        <x:v>Nature Communications</x:v>
      </x:c>
      <x:c r="T102" s="42" t="n">
        <x:v>2023</x:v>
      </x:c>
      <x:c r="U102" s="49" t="n">
        <x:v>18.1</x:v>
      </x:c>
      <x:c r="V102" s="42" t="n">
        <x:v>2025</x:v>
      </x:c>
      <x:c r="W102" s="28" t="str">
        <x:v>https://doi.org/10.1038/s41467-023-40224-x</x:v>
      </x:c>
      <x:c r="X102" s="28" t="str">
        <x:v>https://www.nature.com/ncomms/ncomms/journal-impact</x:v>
      </x:c>
      <x:c r="Y102" s="28" t="str">
        <x:v>https://europepmc.org/articles/PMC12453690</x:v>
      </x:c>
      <x:c r="Z102" s="28" t="str">
        <x:v>https://openalex.org/A5005772961</x:v>
      </x:c>
      <x:c r="AA102" s="28" t="str">
        <x:v>https://orcid.org/0000-0001-7885-715X</x:v>
      </x:c>
      <x:c r="AB102" s="28" t="str">
        <x:v>是</x:v>
      </x:c>
      <x:c r="AC102" s="34" t="str">
        <x:v>建议发送前再用机构官网确认</x:v>
      </x:c>
      <x:c r="AD102" s="37" t="str">
        <x:v>Technical University of Denmark</x:v>
      </x:c>
    </x:row>
    <x:row r="103">
      <x:c r="A103" s="41" t="n">
        <x:v>99</x:v>
      </x:c>
      <x:c r="B103" s="42" t="str">
        <x:f>IF(Q103&gt;=95,"A-优先联系",IF(Q103&gt;=85,"B-重点关注","C-补充候选"))</x:f>
        <x:v>B-重点关注</x:v>
      </x:c>
      <x:c r="C103" s="28" t="str">
        <x:v>Maria Hondele</x:v>
      </x:c>
      <x:c r="D103" s="28" t="str">
        <x:v>Switzerland</x:v>
      </x:c>
      <x:c r="E103" s="34" t="str">
        <x:v>University of Basel</x:v>
      </x:c>
      <x:c r="F103" s="34" t="str">
        <x:v>maria.hondele@unibas.ch</x:v>
      </x:c>
      <x:c r="G103" s="46" t="str">
        <x:v>较高（近期论文通讯邮箱）</x:v>
      </x:c>
      <x:c r="H103" s="46" t="n">
        <x:v>2025</x:v>
      </x:c>
      <x:c r="I103" s="34" t="str">
        <x:v>RNA-protein condensates and RNA processing</x:v>
      </x:c>
      <x:c r="J103" s="34" t="str">
        <x:v>neurodegeneration and cancer</x:v>
      </x:c>
      <x:c r="K103" s="42" t="str">
        <x:v>中</x:v>
      </x:c>
      <x:c r="L103" s="52" t="n">
        <x:v>5</x:v>
      </x:c>
      <x:c r="M103" s="52" t="n">
        <x:v>3</x:v>
      </x:c>
      <x:c r="N103" s="52" t="n">
        <x:v>2</x:v>
      </x:c>
      <x:c r="O103" s="52" t="n">
        <x:v>2</x:v>
      </x:c>
      <x:c r="P103" s="52" t="n">
        <x:f>L103*7+M103*7+N103*10+O103*5</x:f>
        <x:v>86</x:v>
      </x:c>
      <x:c r="Q103" s="52" t="n">
        <x:f>MIN(100,P103+IF(D103="Germany",10,0))</x:f>
        <x:v>86</x:v>
      </x:c>
      <x:c r="R103" s="34" t="str">
        <x:v>Analyses of translation factors Dbp1 and Ded1 reveal the cellular response to heat stress to be separable from stress granule formation</x:v>
      </x:c>
      <x:c r="S103" s="28" t="str">
        <x:v>Cell Reports</x:v>
      </x:c>
      <x:c r="T103" s="42" t="n">
        <x:v>2024</x:v>
      </x:c>
      <x:c r="U103" s="49" t="n">
        <x:v>7.5</x:v>
      </x:c>
      <x:c r="V103" s="42" t="n">
        <x:v>2024</x:v>
      </x:c>
      <x:c r="W103" s="28" t="str">
        <x:v>https://doi.org/10.1016/j.celrep.2024.115059</x:v>
      </x:c>
      <x:c r="X103" s="28" t="str">
        <x:v>https://www.cell.com/cell-reports/home</x:v>
      </x:c>
      <x:c r="Y103" s="28" t="str">
        <x:v>https://europepmc.org/articles/PMC12796366</x:v>
      </x:c>
      <x:c r="Z103" s="28" t="str">
        <x:v>https://openalex.org/A5049295836</x:v>
      </x:c>
      <x:c r="AA103" s="28" t="str">
        <x:v>https://orcid.org/0000-0002-2733-2561</x:v>
      </x:c>
      <x:c r="AB103" s="28" t="str">
        <x:v>是</x:v>
      </x:c>
      <x:c r="AC103" s="34" t="str">
        <x:v>建议发送前再用机构官网确认</x:v>
      </x:c>
      <x:c r="AD103" s="37" t="str">
        <x:v>University of Basel</x:v>
      </x:c>
    </x:row>
    <x:row r="104">
      <x:c r="A104" s="43" t="n">
        <x:v>100</x:v>
      </x:c>
      <x:c r="B104" s="44" t="str">
        <x:f>IF(Q104&gt;=95,"A-优先联系",IF(Q104&gt;=85,"B-重点关注","C-补充候选"))</x:f>
        <x:v>B-重点关注</x:v>
      </x:c>
      <x:c r="C104" s="31" t="str">
        <x:v>Mihaela Zavolan</x:v>
      </x:c>
      <x:c r="D104" s="31" t="str">
        <x:v>Switzerland</x:v>
      </x:c>
      <x:c r="E104" s="35" t="str">
        <x:v>University of Basel</x:v>
      </x:c>
      <x:c r="F104" s="35" t="str">
        <x:v>mihaela.zavolan@unibas.ch</x:v>
      </x:c>
      <x:c r="G104" s="47" t="str">
        <x:v>较高（近期论文通讯邮箱）</x:v>
      </x:c>
      <x:c r="H104" s="47" t="n">
        <x:v>2026</x:v>
      </x:c>
      <x:c r="I104" s="35" t="str">
        <x:v>Computational RNA biology and miRNA regulation</x:v>
      </x:c>
      <x:c r="J104" s="35" t="str">
        <x:v>cancer and cell-state biology</x:v>
      </x:c>
      <x:c r="K104" s="44" t="str">
        <x:v>中</x:v>
      </x:c>
      <x:c r="L104" s="53" t="n">
        <x:v>5</x:v>
      </x:c>
      <x:c r="M104" s="53" t="n">
        <x:v>3</x:v>
      </x:c>
      <x:c r="N104" s="53" t="n">
        <x:v>2</x:v>
      </x:c>
      <x:c r="O104" s="53" t="n">
        <x:v>2</x:v>
      </x:c>
      <x:c r="P104" s="53" t="n">
        <x:f>L104*7+M104*7+N104*10+O104*5</x:f>
        <x:v>86</x:v>
      </x:c>
      <x:c r="Q104" s="53" t="n">
        <x:f>MIN(100,P104+IF(D104="Germany",10,0))</x:f>
        <x:v>86</x:v>
      </x:c>
      <x:c r="R104" s="35" t="str">
        <x:v>Heat shock induces silent ribosomes and reorganizes mRNA turnover</x:v>
      </x:c>
      <x:c r="S104" s="31" t="str">
        <x:v>Cell Reports</x:v>
      </x:c>
      <x:c r="T104" s="44" t="n">
        <x:v>2025</x:v>
      </x:c>
      <x:c r="U104" s="50" t="n">
        <x:v>7.5</x:v>
      </x:c>
      <x:c r="V104" s="44" t="n">
        <x:v>2024</x:v>
      </x:c>
      <x:c r="W104" s="31" t="str">
        <x:v>https://doi.org/10.1016/j.celrep.2025.116447</x:v>
      </x:c>
      <x:c r="X104" s="31" t="str">
        <x:v>https://www.cell.com/cell-reports/home</x:v>
      </x:c>
      <x:c r="Y104" s="31" t="str">
        <x:v>https://europepmc.org/articles/PMC12990791</x:v>
      </x:c>
      <x:c r="Z104" s="31" t="str">
        <x:v>https://openalex.org/A5018588101</x:v>
      </x:c>
      <x:c r="AA104" s="31" t="str">
        <x:v>https://orcid.org/0000-0002-8832-2041</x:v>
      </x:c>
      <x:c r="AB104" s="31" t="str">
        <x:v>是</x:v>
      </x:c>
      <x:c r="AC104" s="35" t="str">
        <x:v>建议发送前再用机构官网确认</x:v>
      </x:c>
      <x:c r="AD104" s="38" t="str">
        <x:v>SIB Swiss Institute of Bioinformatics | University of Basel</x:v>
      </x:c>
    </x:row>
  </x:sheetData>
  <x:mergeCells>
    <x:mergeCell ref="A1:Q1"/>
    <x:mergeCell ref="A2:Q2"/>
  </x:mergeCells>
  <x:conditionalFormatting sqref="D5:D104">
    <x:cfRule type="containsText" dxfId="0" priority="1" operator="containsText" text="Germany"/>
  </x:conditionalFormatting>
  <x:conditionalFormatting sqref="B5:B104">
    <x:cfRule type="containsText" dxfId="1" priority="2" operator="containsText" text="A-"/>
    <x:cfRule type="containsText" dxfId="2" priority="3" operator="containsText" text="B-"/>
  </x:conditionalFormatting>
  <x:conditionalFormatting sqref="G5:G104">
    <x:cfRule type="containsText" dxfId="3" priority="4" operator="containsText" text="低"/>
  </x:conditionalFormatting>
  <x:conditionalFormatting sqref="Q5:Q104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449f7076a2843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2" hidden="0" customWidth="1"/>
    <x:col min="4" max="4" width="31" hidden="0" customWidth="1"/>
    <x:col min="5" max="5" width="22" hidden="0" customWidth="1"/>
    <x:col min="6" max="6" width="36" hidden="0" customWidth="1"/>
    <x:col min="7" max="7" width="30" hidden="0" customWidth="1"/>
    <x:col min="8" max="8" width="48" hidden="0" customWidth="1"/>
    <x:col min="9" max="9" width="8" hidden="0" customWidth="1"/>
    <x:col min="10" max="10" width="11" hidden="0" customWidth="1"/>
    <x:col min="11" max="11" width="46" hidden="0" customWidth="1"/>
    <x:col min="12" max="12" width="38" hidden="0" customWidth="1"/>
  </x:cols>
  <x:sheetData>
    <x:row r="1" ht="32" customHeight="1">
      <x:c r="A1" s="3" t="str">
        <x:v>德国 RNA PI 优先联系清单</x:v>
      </x:c>
    </x:row>
    <x:row r="2" ht="30" customHeight="1">
      <x:c r="A2" s="7" t="str">
        <x:v>共 25 位满足纳入条件；按临床相关性、RNA匹配度和联系可信度排序。蓝色标识德国优先加权。</x:v>
      </x:c>
    </x:row>
    <x:row r="4" ht="34" customHeight="1">
      <x:c r="A4" s="13" t="str">
        <x:v>总排名</x:v>
      </x:c>
      <x:c r="B4" s="13" t="str">
        <x:v>PI姓名</x:v>
      </x:c>
      <x:c r="C4" s="13" t="str">
        <x:v>机构</x:v>
      </x:c>
      <x:c r="D4" s="13" t="str">
        <x:v>公开Email</x:v>
      </x:c>
      <x:c r="E4" s="13" t="str">
        <x:v>邮箱可信度</x:v>
      </x:c>
      <x:c r="F4" s="13" t="str">
        <x:v>RNA专注领域</x:v>
      </x:c>
      <x:c r="G4" s="13" t="str">
        <x:v>临床/疾病方向</x:v>
      </x:c>
      <x:c r="H4" s="13" t="str">
        <x:v>代表性论文</x:v>
      </x:c>
      <x:c r="I4" s="13" t="str">
        <x:v>JIF</x:v>
      </x:c>
      <x:c r="J4" s="13" t="str">
        <x:v>德国优先分</x:v>
      </x:c>
      <x:c r="K4" s="13" t="str">
        <x:v>风险/复核提示</x:v>
      </x:c>
      <x:c r="L4" s="13" t="str">
        <x:v>论文/DOI</x:v>
      </x:c>
    </x:row>
    <x:row r="5">
      <x:c r="A5" s="82" t="n">
        <x:v>1</x:v>
      </x:c>
      <x:c r="B5" s="74" t="str">
        <x:v>Andreas Keller</x:v>
      </x:c>
      <x:c r="C5" s="74" t="str">
        <x:v>Saarland University</x:v>
      </x:c>
      <x:c r="D5" s="74" t="str">
        <x:v>andreas.keller@ccb.uni-saarland.de</x:v>
      </x:c>
      <x:c r="E5" s="74" t="str">
        <x:v>较高（近期论文通讯邮箱）</x:v>
      </x:c>
      <x:c r="F5" s="74" t="str">
        <x:v>miRNA biomarkers and clinical bioinformatics</x:v>
      </x:c>
      <x:c r="G5" s="74" t="str">
        <x:v>liquid biopsy and precision diagnostics</x:v>
      </x:c>
      <x:c r="H5" s="74" t="str">
        <x:v>A single-cell atlas to map sex-specific gene-expression changes in blood upon neurodegeneration</x:v>
      </x:c>
      <x:c r="I5" s="88" t="n">
        <x:v>18.1</x:v>
      </x:c>
      <x:c r="J5" s="85" t="n">
        <x:v>100</x:v>
      </x:c>
      <x:c r="K5" s="74" t="str">
        <x:v>建议发送前再用机构官网确认</x:v>
      </x:c>
      <x:c r="L5" s="75" t="str">
        <x:v>https://doi.org/10.1038/s41467-025-56833-7</x:v>
      </x:c>
    </x:row>
    <x:row r="6">
      <x:c r="A6" s="83" t="n">
        <x:v>2</x:v>
      </x:c>
      <x:c r="B6" s="77" t="str">
        <x:v>Florian Heyd</x:v>
      </x:c>
      <x:c r="C6" s="77" t="str">
        <x:v>Freie Universitat Berlin</x:v>
      </x:c>
      <x:c r="D6" s="77" t="str">
        <x:v>florian.heyd@fu-berlin.de</x:v>
      </x:c>
      <x:c r="E6" s="77" t="str">
        <x:v>较高（近期论文通讯邮箱）</x:v>
      </x:c>
      <x:c r="F6" s="77" t="str">
        <x:v>Alternative splicing and immune-cell RNA regulation</x:v>
      </x:c>
      <x:c r="G6" s="77" t="str">
        <x:v>immune disease and cancer</x:v>
      </x:c>
      <x:c r="H6" s="77" t="str">
        <x:v>A Conserved Kinase-Based Body-Temperature Sensor Globally Controls Alternative Splicing and Gene Expression</x:v>
      </x:c>
      <x:c r="I6" s="89" t="n">
        <x:v>16</x:v>
      </x:c>
      <x:c r="J6" s="86" t="n">
        <x:v>100</x:v>
      </x:c>
      <x:c r="K6" s="77" t="str">
        <x:v>建议发送前再用机构官网确认</x:v>
      </x:c>
      <x:c r="L6" s="78" t="str">
        <x:v>https://doi.org/10.1016/j.molcel.2020.01.028</x:v>
      </x:c>
    </x:row>
    <x:row r="7">
      <x:c r="A7" s="83" t="n">
        <x:v>3</x:v>
      </x:c>
      <x:c r="B7" s="77" t="str">
        <x:v>Georg Stoecklin</x:v>
      </x:c>
      <x:c r="C7" s="77" t="str">
        <x:v>Heidelberg University</x:v>
      </x:c>
      <x:c r="D7" s="77" t="str">
        <x:v>georg.stoecklin@medma.uni-heidelberg.de</x:v>
      </x:c>
      <x:c r="E7" s="77" t="str">
        <x:v>较高（近期论文通讯邮箱）</x:v>
      </x:c>
      <x:c r="F7" s="77" t="str">
        <x:v>mRNA decay and post-transcriptional control</x:v>
      </x:c>
      <x:c r="G7" s="77" t="str">
        <x:v>inflammation and cancer</x:v>
      </x:c>
      <x:c r="H7" s="77" t="str">
        <x:v>The two-step purification method ViREn identifies a single NSUN6-mediated 5-methylcytosine modification promoting dengue virus RNA genome turnover</x:v>
      </x:c>
      <x:c r="I7" s="89" t="n">
        <x:v>15</x:v>
      </x:c>
      <x:c r="J7" s="86" t="n">
        <x:v>100</x:v>
      </x:c>
      <x:c r="K7" s="77" t="str">
        <x:v>建议发送前再用机构官网确认</x:v>
      </x:c>
      <x:c r="L7" s="78" t="str">
        <x:v>https://doi.org/10.1093/nar/gkag003</x:v>
      </x:c>
    </x:row>
    <x:row r="8">
      <x:c r="A8" s="83" t="n">
        <x:v>4</x:v>
      </x:c>
      <x:c r="B8" s="77" t="str">
        <x:v>Jan Medenbach</x:v>
      </x:c>
      <x:c r="C8" s="77" t="str">
        <x:v>University of Regensburg</x:v>
      </x:c>
      <x:c r="D8" s="77" t="str">
        <x:v>Jan.Medenbach@ur.de</x:v>
      </x:c>
      <x:c r="E8" s="77" t="str">
        <x:v>较高（近期论文通讯邮箱）</x:v>
      </x:c>
      <x:c r="F8" s="77" t="str">
        <x:v>Translational control and RNA-binding proteins</x:v>
      </x:c>
      <x:c r="G8" s="77" t="str">
        <x:v>cancer and metabolic disease</x:v>
      </x:c>
      <x:c r="H8" s="77" t="str">
        <x:v>A rapid protocol for ribosome profiling of low input samples</x:v>
      </x:c>
      <x:c r="I8" s="89" t="n">
        <x:v>15</x:v>
      </x:c>
      <x:c r="J8" s="86" t="n">
        <x:v>100</x:v>
      </x:c>
      <x:c r="K8" s="77" t="str">
        <x:v>建议发送前再用机构官网确认</x:v>
      </x:c>
      <x:c r="L8" s="78" t="str">
        <x:v>https://doi.org/10.1093/nar/gkad459</x:v>
      </x:c>
    </x:row>
    <x:row r="9">
      <x:c r="A9" s="83" t="n">
        <x:v>5</x:v>
      </x:c>
      <x:c r="B9" s="77" t="str">
        <x:v>Jorg Vogel</x:v>
      </x:c>
      <x:c r="C9" s="77" t="str">
        <x:v>University of Wurzburg / HIRI</x:v>
      </x:c>
      <x:c r="D9" s="77" t="str">
        <x:v>joerg.vogel@uni-wuerzburg.de</x:v>
      </x:c>
      <x:c r="E9" s="77" t="str">
        <x:v>较高（近期论文通讯邮箱）</x:v>
      </x:c>
      <x:c r="F9" s="77" t="str">
        <x:v>RNA biology of bacterial infection and RNA therapeutics</x:v>
      </x:c>
      <x:c r="G9" s="77" t="str">
        <x:v>infectious disease</x:v>
      </x:c>
      <x:c r="H9" s="77" t="str">
        <x:v>Translation-dependent degradation of cas12 mRNA triggered by an anti-CRISPR</x:v>
      </x:c>
      <x:c r="I9" s="89" t="n">
        <x:v>48.5</x:v>
      </x:c>
      <x:c r="J9" s="86" t="n">
        <x:v>100</x:v>
      </x:c>
      <x:c r="K9" s="77" t="str">
        <x:v>建议发送前再用机构官网确认</x:v>
      </x:c>
      <x:c r="L9" s="78" t="str">
        <x:v>https://doi.org/10.1038/s41586-026-10440-8</x:v>
      </x:c>
    </x:row>
    <x:row r="10">
      <x:c r="A10" s="83" t="n">
        <x:v>6</x:v>
      </x:c>
      <x:c r="B10" s="77" t="str">
        <x:v>Lars Dolken</x:v>
      </x:c>
      <x:c r="C10" s="77" t="str">
        <x:v>University of Wurzburg</x:v>
      </x:c>
      <x:c r="D10" s="77" t="str">
        <x:v>Doelken.Lars@mh-hannover.de</x:v>
      </x:c>
      <x:c r="E10" s="77" t="str">
        <x:v>较高（近期论文通讯邮箱）</x:v>
      </x:c>
      <x:c r="F10" s="77" t="str">
        <x:v>Viral RNA, transcriptomics and antiviral mechanisms</x:v>
      </x:c>
      <x:c r="G10" s="77" t="str">
        <x:v>viral infection</x:v>
      </x:c>
      <x:c r="H10" s="77" t="str">
        <x:v>Host cell Z-RNAs activate ZBP1 during virus infections</x:v>
      </x:c>
      <x:c r="I10" s="89" t="n">
        <x:v>48.5</x:v>
      </x:c>
      <x:c r="J10" s="86" t="n">
        <x:v>100</x:v>
      </x:c>
      <x:c r="K10" s="77" t="str">
        <x:v>建议发送前再用机构官网确认</x:v>
      </x:c>
      <x:c r="L10" s="78" t="str">
        <x:v>https://doi.org/10.1038/s41586-025-09705-5</x:v>
      </x:c>
    </x:row>
    <x:row r="11">
      <x:c r="A11" s="83" t="n">
        <x:v>7</x:v>
      </x:c>
      <x:c r="B11" s="77" t="str">
        <x:v>Lars Zender</x:v>
      </x:c>
      <x:c r="C11" s="77" t="str">
        <x:v>University Hospital Tubingen</x:v>
      </x:c>
      <x:c r="D11" s="77" t="str">
        <x:v>lars.zender@med.uni-tuebingen.de</x:v>
      </x:c>
      <x:c r="E11" s="77" t="str">
        <x:v>较高（近期论文通讯邮箱）</x:v>
      </x:c>
      <x:c r="F11" s="77" t="str">
        <x:v>Functional genomics and non-coding RNA in cancer</x:v>
      </x:c>
      <x:c r="G11" s="77" t="str">
        <x:v>liver cancer</x:v>
      </x:c>
      <x:c r="H11" s="77" t="str">
        <x:v>Author Correction: mTOR regulates MAPKAPK2 translation to control the senescence-associated secretory phenotype</x:v>
      </x:c>
      <x:c r="I11" s="89" t="n">
        <x:v>17.3</x:v>
      </x:c>
      <x:c r="J11" s="86" t="n">
        <x:v>100</x:v>
      </x:c>
      <x:c r="K11" s="77" t="str">
        <x:v>建议发送前再用机构官网确认</x:v>
      </x:c>
      <x:c r="L11" s="78" t="str">
        <x:v>https://doi.org/10.1038/s41556-024-01443-6</x:v>
      </x:c>
    </x:row>
    <x:row r="12">
      <x:c r="A12" s="83" t="n">
        <x:v>8</x:v>
      </x:c>
      <x:c r="B12" s="77" t="str">
        <x:v>Michaela Frye</x:v>
      </x:c>
      <x:c r="C12" s="77" t="str">
        <x:v>German Cancer Research Center</x:v>
      </x:c>
      <x:c r="D12" s="77" t="str">
        <x:v>m.frye@dkfz.de</x:v>
      </x:c>
      <x:c r="E12" s="77" t="str">
        <x:v>较高（近期论文通讯邮箱）</x:v>
      </x:c>
      <x:c r="F12" s="77" t="str">
        <x:v>RNA modifications and stem-cell/cancer biology</x:v>
      </x:c>
      <x:c r="G12" s="77" t="str">
        <x:v>cancer and tissue regeneration</x:v>
      </x:c>
      <x:c r="H12" s="77" t="str">
        <x:v>Disrupting tRNA modifications to target mitochondrial vulnerabilities in drug-resistant leukemia cells</x:v>
      </x:c>
      <x:c r="I12" s="89" t="n">
        <x:v>21</x:v>
      </x:c>
      <x:c r="J12" s="86" t="n">
        <x:v>100</x:v>
      </x:c>
      <x:c r="K12" s="77" t="str">
        <x:v>建议发送前再用机构官网确认</x:v>
      </x:c>
      <x:c r="L12" s="78" t="str">
        <x:v>https://doi.org/10.1182/blood.2024027822</x:v>
      </x:c>
    </x:row>
    <x:row r="13">
      <x:c r="A13" s="83" t="n">
        <x:v>9</x:v>
      </x:c>
      <x:c r="B13" s="77" t="str">
        <x:v>Niels Gehring</x:v>
      </x:c>
      <x:c r="C13" s="77" t="str">
        <x:v>University of Cologne</x:v>
      </x:c>
      <x:c r="D13" s="77" t="str">
        <x:v>ngehring@uni-koeln.de</x:v>
      </x:c>
      <x:c r="E13" s="77" t="str">
        <x:v>较高（近期论文通讯邮箱）</x:v>
      </x:c>
      <x:c r="F13" s="77" t="str">
        <x:v>RNA quality control and nonsense-mediated decay</x:v>
      </x:c>
      <x:c r="G13" s="77" t="str">
        <x:v>genetic disease</x:v>
      </x:c>
      <x:c r="H13" s="77" t="str">
        <x:v>SMG1:SMG8:SMG9-complex integrity supports efficient execution of nonsense-mediated mRNA decay</x:v>
      </x:c>
      <x:c r="I13" s="89" t="n">
        <x:v>15</x:v>
      </x:c>
      <x:c r="J13" s="86" t="n">
        <x:v>100</x:v>
      </x:c>
      <x:c r="K13" s="77" t="str">
        <x:v>建议发送前再用机构官网确认</x:v>
      </x:c>
      <x:c r="L13" s="78" t="str">
        <x:v>https://doi.org/10.1093/nar/gkag193</x:v>
      </x:c>
    </x:row>
    <x:row r="14">
      <x:c r="A14" s="83" t="n">
        <x:v>10</x:v>
      </x:c>
      <x:c r="B14" s="77" t="str">
        <x:v>Nikolaus Rajewsky</x:v>
      </x:c>
      <x:c r="C14" s="77" t="str">
        <x:v>Max Delbruck Center</x:v>
      </x:c>
      <x:c r="D14" s="77" t="str">
        <x:v>rajewsky@mdc-berlin.de</x:v>
      </x:c>
      <x:c r="E14" s="77" t="str">
        <x:v>较高（近期论文通讯邮箱）</x:v>
      </x:c>
      <x:c r="F14" s="77" t="str">
        <x:v>Systems biology, single-cell RNA and regulatory RNA</x:v>
      </x:c>
      <x:c r="G14" s="77" t="str">
        <x:v>precision medicine and disease models</x:v>
      </x:c>
      <x:c r="H14" s="77" t="str">
        <x:v>The Biodiversity Cell Atlas: mapping the tree of life at cellular resolution</x:v>
      </x:c>
      <x:c r="I14" s="89" t="n">
        <x:v>48.5</x:v>
      </x:c>
      <x:c r="J14" s="86" t="n">
        <x:v>100</x:v>
      </x:c>
      <x:c r="K14" s="77" t="str">
        <x:v>建议发送前再用机构官网确认</x:v>
      </x:c>
      <x:c r="L14" s="78" t="str">
        <x:v>https://doi.org/10.1038/s41586-025-09312-4</x:v>
      </x:c>
    </x:row>
    <x:row r="15">
      <x:c r="A15" s="83" t="n">
        <x:v>11</x:v>
      </x:c>
      <x:c r="B15" s="77" t="str">
        <x:v>Oliver Stegle</x:v>
      </x:c>
      <x:c r="C15" s="77" t="str">
        <x:v>EMBL / DKFZ</x:v>
      </x:c>
      <x:c r="D15" s="77" t="str">
        <x:v>oliver.stegle@embl.de</x:v>
      </x:c>
      <x:c r="E15" s="77" t="str">
        <x:v>较高（近期论文通讯邮箱）</x:v>
      </x:c>
      <x:c r="F15" s="77" t="str">
        <x:v>Single-cell genomics and statistical transcriptomics</x:v>
      </x:c>
      <x:c r="G15" s="77" t="str">
        <x:v>cancer and precision medicine</x:v>
      </x:c>
      <x:c r="H15" s="77" t="str">
        <x:v>Cell2fate infers RNA velocity modules to improve cell fate prediction</x:v>
      </x:c>
      <x:c r="I15" s="89" t="n">
        <x:v>32.1</x:v>
      </x:c>
      <x:c r="J15" s="86" t="n">
        <x:v>100</x:v>
      </x:c>
      <x:c r="K15" s="77" t="str">
        <x:v>建议发送前再用机构官网确认</x:v>
      </x:c>
      <x:c r="L15" s="78" t="str">
        <x:v>https://doi.org/10.1038/s41592-025-02608-3</x:v>
      </x:c>
    </x:row>
    <x:row r="16">
      <x:c r="A16" s="83" t="n">
        <x:v>12</x:v>
      </x:c>
      <x:c r="B16" s="77" t="str">
        <x:v>Stefan Engelhardt</x:v>
      </x:c>
      <x:c r="C16" s="77" t="str">
        <x:v>Technical University of Munich / Helmholtz Munich</x:v>
      </x:c>
      <x:c r="D16" s="77" t="str">
        <x:v>Stefan.engelhardt@tum.de</x:v>
      </x:c>
      <x:c r="E16" s="77" t="str">
        <x:v>较高（近期论文通讯邮箱）</x:v>
      </x:c>
      <x:c r="F16" s="77" t="str">
        <x:v>Non-coding RNA and oligonucleotide therapeutics</x:v>
      </x:c>
      <x:c r="G16" s="77" t="str">
        <x:v>cardiovascular disease</x:v>
      </x:c>
      <x:c r="H16" s="77" t="str">
        <x:v>Allele-specific genomics decodes gene targets and mechanisms of the non-coding genome</x:v>
      </x:c>
      <x:c r="I16" s="89" t="n">
        <x:v>15</x:v>
      </x:c>
      <x:c r="J16" s="86" t="n">
        <x:v>100</x:v>
      </x:c>
      <x:c r="K16" s="77" t="str">
        <x:v>建议发送前再用机构官网确认</x:v>
      </x:c>
      <x:c r="L16" s="78" t="str">
        <x:v>https://doi.org/10.1093/nar/gkaf912</x:v>
      </x:c>
    </x:row>
    <x:row r="17">
      <x:c r="A17" s="83" t="n">
        <x:v>13</x:v>
      </x:c>
      <x:c r="B17" s="77" t="str">
        <x:v>Stefan Huttelmaier</x:v>
      </x:c>
      <x:c r="C17" s="77" t="str">
        <x:v>Martin Luther University Halle-Wittenberg</x:v>
      </x:c>
      <x:c r="D17" s="77" t="str">
        <x:v>stefan.huettelmaier@medizin.uni-halle.de</x:v>
      </x:c>
      <x:c r="E17" s="77" t="str">
        <x:v>较高（近期论文通讯邮箱）</x:v>
      </x:c>
      <x:c r="F17" s="77" t="str">
        <x:v>RNA-binding proteins and post-transcriptional cancer biology</x:v>
      </x:c>
      <x:c r="G17" s="77" t="str">
        <x:v>cancer progression and biomarkers</x:v>
      </x:c>
      <x:c r="H17" s="77" t="str">
        <x:v>Lineage-restricted dependency on an oncofetal SNHG29-IGF2BP1 RNA axis in acute megakaryoblastic leukemia</x:v>
      </x:c>
      <x:c r="I17" s="89" t="n">
        <x:v>13.4</x:v>
      </x:c>
      <x:c r="J17" s="86" t="n">
        <x:v>100</x:v>
      </x:c>
      <x:c r="K17" s="77" t="str">
        <x:v>建议发送前再用机构官网确认</x:v>
      </x:c>
      <x:c r="L17" s="78" t="str">
        <x:v>https://doi.org/10.1038/s41375-026-03040-y</x:v>
      </x:c>
    </x:row>
    <x:row r="18">
      <x:c r="A18" s="83" t="n">
        <x:v>14</x:v>
      </x:c>
      <x:c r="B18" s="77" t="str">
        <x:v>Sven Danckwardt</x:v>
      </x:c>
      <x:c r="C18" s="77" t="str">
        <x:v>University Medical Center Mainz</x:v>
      </x:c>
      <x:c r="D18" s="77" t="str">
        <x:v>Sven.Danckwardt@unimedizin-mainz.de</x:v>
      </x:c>
      <x:c r="E18" s="77" t="str">
        <x:v>较高（近期论文通讯邮箱）</x:v>
      </x:c>
      <x:c r="F18" s="77" t="str">
        <x:v>Post-transcriptional RNA regulation and RNA therapeutics</x:v>
      </x:c>
      <x:c r="G18" s="77" t="str">
        <x:v>inflammation, vascular disease and cancer</x:v>
      </x:c>
      <x:c r="H18" s="77" t="str">
        <x:v>TREND-DB—a transcriptome-wide atlas of the dynamic landscape of alternative polyadenylation</x:v>
      </x:c>
      <x:c r="I18" s="89" t="n">
        <x:v>15</x:v>
      </x:c>
      <x:c r="J18" s="86" t="n">
        <x:v>100</x:v>
      </x:c>
      <x:c r="K18" s="77" t="str">
        <x:v>建议发送前再用机构官网确认</x:v>
      </x:c>
      <x:c r="L18" s="78" t="str">
        <x:v>https://doi.org/10.1093/nar/gkaa722</x:v>
      </x:c>
    </x:row>
    <x:row r="19">
      <x:c r="A19" s="83" t="n">
        <x:v>15</x:v>
      </x:c>
      <x:c r="B19" s="77" t="str">
        <x:v>Tony Gutschner</x:v>
      </x:c>
      <x:c r="C19" s="77" t="str">
        <x:v>Martin Luther University Halle-Wittenberg</x:v>
      </x:c>
      <x:c r="D19" s="77" t="str">
        <x:v>tony.gutschner@uk-halle.de</x:v>
      </x:c>
      <x:c r="E19" s="77" t="str">
        <x:v>较高（近期论文通讯邮箱）</x:v>
      </x:c>
      <x:c r="F19" s="77" t="str">
        <x:v>Long non-coding RNA and functional cancer genomics</x:v>
      </x:c>
      <x:c r="G19" s="77" t="str">
        <x:v>cancer biomarkers and therapy</x:v>
      </x:c>
      <x:c r="H19" s="77" t="str">
        <x:v>RAVER1 hinders lethal EMT and modulates miR/RISC activity by the control of alternative splicing</x:v>
      </x:c>
      <x:c r="I19" s="89" t="n">
        <x:v>15</x:v>
      </x:c>
      <x:c r="J19" s="86" t="n">
        <x:v>100</x:v>
      </x:c>
      <x:c r="K19" s="77" t="str">
        <x:v>建议发送前再用机构官网确认</x:v>
      </x:c>
      <x:c r="L19" s="78" t="str">
        <x:v>https://doi.org/10.1093/nar/gkae046</x:v>
      </x:c>
    </x:row>
    <x:row r="20">
      <x:c r="A20" s="83" t="n">
        <x:v>73</x:v>
      </x:c>
      <x:c r="B20" s="77" t="str">
        <x:v>Claudia Hobartner</x:v>
      </x:c>
      <x:c r="C20" s="77" t="str">
        <x:v>University of Wurzburg</x:v>
      </x:c>
      <x:c r="D20" s="77" t="str">
        <x:v>claudia.hoebartner@uni-wuerzburg.de</x:v>
      </x:c>
      <x:c r="E20" s="77" t="str">
        <x:v>较高（近期论文通讯邮箱）</x:v>
      </x:c>
      <x:c r="F20" s="77" t="str">
        <x:v>RNA chemistry, RNA modification and editing</x:v>
      </x:c>
      <x:c r="G20" s="77" t="str">
        <x:v>RNA diagnostics and therapeutics</x:v>
      </x:c>
      <x:c r="H20" s="77" t="str">
        <x:v>2′-O-methylation-dependent installation of N2-methylguanosine in the U6 internal stem loop facilitates efficient spliceosome assembly</x:v>
      </x:c>
      <x:c r="I20" s="89" t="n">
        <x:v>18.1</x:v>
      </x:c>
      <x:c r="J20" s="86" t="n">
        <x:v>96</x:v>
      </x:c>
      <x:c r="K20" s="77" t="str">
        <x:v>建议发送前再用机构官网确认</x:v>
      </x:c>
      <x:c r="L20" s="78" t="str">
        <x:v>https://doi.org/10.1038/s41467-026-72355-2</x:v>
      </x:c>
    </x:row>
    <x:row r="21">
      <x:c r="A21" s="83" t="n">
        <x:v>74</x:v>
      </x:c>
      <x:c r="B21" s="77" t="str">
        <x:v>Gunter Meister</x:v>
      </x:c>
      <x:c r="C21" s="77" t="str">
        <x:v>University of Regensburg</x:v>
      </x:c>
      <x:c r="D21" s="77" t="str">
        <x:v>gunter.meister@ur.de</x:v>
      </x:c>
      <x:c r="E21" s="77" t="str">
        <x:v>较高（近期论文通讯邮箱）</x:v>
      </x:c>
      <x:c r="F21" s="77" t="str">
        <x:v>miRNA and RNA silencing</x:v>
      </x:c>
      <x:c r="G21" s="77" t="str">
        <x:v>cancer and viral disease</x:v>
      </x:c>
      <x:c r="H21" s="77" t="str">
        <x:v>Cytoplasmic DIS3 is an exosome-independent endoribonuclease with catalytic activity toward circular RNAs</x:v>
      </x:c>
      <x:c r="I21" s="89" t="n">
        <x:v>7.5</x:v>
      </x:c>
      <x:c r="J21" s="86" t="n">
        <x:v>96</x:v>
      </x:c>
      <x:c r="K21" s="77" t="str">
        <x:v>建议发送前再用机构官网确认</x:v>
      </x:c>
      <x:c r="L21" s="78" t="str">
        <x:v>https://doi.org/10.1016/j.celrep.2025.115769</x:v>
      </x:c>
    </x:row>
    <x:row r="22">
      <x:c r="A22" s="83" t="n">
        <x:v>75</x:v>
      </x:c>
      <x:c r="B22" s="77" t="str">
        <x:v>Markus Landthaler</x:v>
      </x:c>
      <x:c r="C22" s="77" t="str">
        <x:v>Max Delbruck Center</x:v>
      </x:c>
      <x:c r="D22" s="77" t="str">
        <x:v>markus.landthaler@mdc-berlin.de</x:v>
      </x:c>
      <x:c r="E22" s="77" t="str">
        <x:v>较高（近期论文通讯邮箱）</x:v>
      </x:c>
      <x:c r="F22" s="77" t="str">
        <x:v>Post-transcriptional gene regulation and RNA-binding proteins</x:v>
      </x:c>
      <x:c r="G22" s="77" t="str">
        <x:v>human disease mechanisms</x:v>
      </x:c>
      <x:c r="H22" s="77" t="str">
        <x:v>Herpesviruses mimic zygotic genome activation to promote viral replication</x:v>
      </x:c>
      <x:c r="I22" s="89" t="n">
        <x:v>18.1</x:v>
      </x:c>
      <x:c r="J22" s="86" t="n">
        <x:v>96</x:v>
      </x:c>
      <x:c r="K22" s="77" t="str">
        <x:v>建议发送前再用机构官网确认</x:v>
      </x:c>
      <x:c r="L22" s="78" t="str">
        <x:v>https://doi.org/10.1038/s41467-025-55928-5</x:v>
      </x:c>
    </x:row>
    <x:row r="23">
      <x:c r="A23" s="83" t="n">
        <x:v>76</x:v>
      </x:c>
      <x:c r="B23" s="77" t="str">
        <x:v>Matthias Hentze</x:v>
      </x:c>
      <x:c r="C23" s="77" t="str">
        <x:v>EMBL Heidelberg</x:v>
      </x:c>
      <x:c r="D23" s="77" t="str">
        <x:v>hentze@embl.org</x:v>
      </x:c>
      <x:c r="E23" s="77" t="str">
        <x:v>较高（近期论文通讯邮箱）</x:v>
      </x:c>
      <x:c r="F23" s="77" t="str">
        <x:v>RNA metabolism and RNA-binding proteins</x:v>
      </x:c>
      <x:c r="G23" s="77" t="str">
        <x:v>cancer and metabolic disease</x:v>
      </x:c>
      <x:c r="H23" s="77" t="str">
        <x:v>Signal or noise? RNA-binding proteins and the challenges of binding site assignments</x:v>
      </x:c>
      <x:c r="I23" s="89" t="n">
        <x:v>15</x:v>
      </x:c>
      <x:c r="J23" s="86" t="n">
        <x:v>96</x:v>
      </x:c>
      <x:c r="K23" s="77" t="str">
        <x:v>建议发送前再用机构官网确认</x:v>
      </x:c>
      <x:c r="L23" s="78" t="str">
        <x:v>https://doi.org/10.1093/nar/gkag452</x:v>
      </x:c>
    </x:row>
    <x:row r="24">
      <x:c r="A24" s="83" t="n">
        <x:v>77</x:v>
      </x:c>
      <x:c r="B24" s="77" t="str">
        <x:v>Michael Sattler</x:v>
      </x:c>
      <x:c r="C24" s="77" t="str">
        <x:v>Helmholtz Munich / Technical University of Munich</x:v>
      </x:c>
      <x:c r="D24" s="77" t="str">
        <x:v>michael.sattler@helmholtz-munich.de</x:v>
      </x:c>
      <x:c r="E24" s="77" t="str">
        <x:v>较高（近期论文通讯邮箱）</x:v>
      </x:c>
      <x:c r="F24" s="77" t="str">
        <x:v>RNA structure and RNA-protein complexes</x:v>
      </x:c>
      <x:c r="G24" s="77" t="str">
        <x:v>disease-associated RNA processing</x:v>
      </x:c>
      <x:c r="H24" s="77" t="str">
        <x:v>Pseudouridine RNA avoids immune detection through impaired endolysosomal processing and TLR engagement</x:v>
      </x:c>
      <x:c r="I24" s="89" t="n">
        <x:v>42.5</x:v>
      </x:c>
      <x:c r="J24" s="86" t="n">
        <x:v>96</x:v>
      </x:c>
      <x:c r="K24" s="77" t="str">
        <x:v>建议发送前再用机构官网确认</x:v>
      </x:c>
      <x:c r="L24" s="78" t="str">
        <x:v>https://doi.org/10.1016/j.cell.2025.05.032</x:v>
      </x:c>
    </x:row>
    <x:row r="25">
      <x:c r="A25" s="83" t="n">
        <x:v>78</x:v>
      </x:c>
      <x:c r="B25" s="77" t="str">
        <x:v>Patrick Cramer</x:v>
      </x:c>
      <x:c r="C25" s="77" t="str">
        <x:v>Max Planck Institute for Multidisciplinary Sciences</x:v>
      </x:c>
      <x:c r="D25" s="77" t="str">
        <x:v>patrick.cramer@mpinat.mpg.de</x:v>
      </x:c>
      <x:c r="E25" s="77" t="str">
        <x:v>较高（近期论文通讯邮箱）</x:v>
      </x:c>
      <x:c r="F25" s="77" t="str">
        <x:v>Transcription, RNA polymerase and gene regulation</x:v>
      </x:c>
      <x:c r="G25" s="77" t="str">
        <x:v>mechanistic basis of disease</x:v>
      </x:c>
      <x:c r="H25" s="77" t="str">
        <x:v>Mechanism of co-transcriptional cap snatching by influenza polymerase</x:v>
      </x:c>
      <x:c r="I25" s="89" t="n">
        <x:v>48.5</x:v>
      </x:c>
      <x:c r="J25" s="86" t="n">
        <x:v>96</x:v>
      </x:c>
      <x:c r="K25" s="77" t="str">
        <x:v>建议发送前再用机构官网确认</x:v>
      </x:c>
      <x:c r="L25" s="78" t="str">
        <x:v>https://doi.org/10.1038/s41586-026-10189-0</x:v>
      </x:c>
    </x:row>
    <x:row r="26">
      <x:c r="A26" s="83" t="n">
        <x:v>85</x:v>
      </x:c>
      <x:c r="B26" s="77" t="str">
        <x:v>Thomas Carell</x:v>
      </x:c>
      <x:c r="C26" s="77" t="str">
        <x:v>Ludwig Maximilian University of Munich</x:v>
      </x:c>
      <x:c r="D26" s="77" t="str">
        <x:v>t.carell@lmu.de</x:v>
      </x:c>
      <x:c r="E26" s="77" t="str">
        <x:v>较高（近期论文通讯邮箱）</x:v>
      </x:c>
      <x:c r="F26" s="77" t="str">
        <x:v>RNA modifications and chemical biology</x:v>
      </x:c>
      <x:c r="G26" s="77" t="str">
        <x:v>epitranscriptomics and diagnostics</x:v>
      </x:c>
      <x:c r="H26" s="77" t="str">
        <x:v>Structural and biochemical characterization of yeast Tcd enzymes installing the post-transcriptional modification ct6A in tRNA</x:v>
      </x:c>
      <x:c r="I26" s="89" t="n">
        <x:v>15</x:v>
      </x:c>
      <x:c r="J26" s="86" t="n">
        <x:v>91</x:v>
      </x:c>
      <x:c r="K26" s="77" t="str">
        <x:v>OpenAlex当前机构国家未匹配/数据可能滞后；建议发送前再用机构官网确认</x:v>
      </x:c>
      <x:c r="L26" s="78" t="str">
        <x:v>https://doi.org/10.1093/nar/gkag376</x:v>
      </x:c>
    </x:row>
    <x:row r="27">
      <x:c r="A27" s="83" t="n">
        <x:v>86</x:v>
      </x:c>
      <x:c r="B27" s="77" t="str">
        <x:v>Eckart Meese</x:v>
      </x:c>
      <x:c r="C27" s="77" t="str">
        <x:v>Saarland University Hospital</x:v>
      </x:c>
      <x:c r="D27" s="77" t="str">
        <x:v>laura.groeger@uks.eu</x:v>
      </x:c>
      <x:c r="E27" s="77" t="str">
        <x:v>低（疑似合作者邮箱）</x:v>
      </x:c>
      <x:c r="F27" s="77" t="str">
        <x:v>miRNA and molecular biomarkers</x:v>
      </x:c>
      <x:c r="G27" s="77" t="str">
        <x:v>cancer diagnostics</x:v>
      </x:c>
      <x:c r="H27" s="77" t="str">
        <x:v>A single-cell atlas to map sex-specific gene-expression changes in blood upon neurodegeneration</x:v>
      </x:c>
      <x:c r="I27" s="89" t="n">
        <x:v>18.1</x:v>
      </x:c>
      <x:c r="J27" s="86" t="n">
        <x:v>90</x:v>
      </x:c>
      <x:c r="K27" s="77" t="str">
        <x:v>邮箱与PI姓名不匹配，不建议直接使用</x:v>
      </x:c>
      <x:c r="L27" s="78" t="str">
        <x:v>https://doi.org/10.1038/s41467-025-56833-7</x:v>
      </x:c>
    </x:row>
    <x:row r="28">
      <x:c r="A28" s="83" t="n">
        <x:v>87</x:v>
      </x:c>
      <x:c r="B28" s="77" t="str">
        <x:v>Emmanuelle Charpentier</x:v>
      </x:c>
      <x:c r="C28" s="77" t="str">
        <x:v>Max Planck Unit for the Science of Pathogens</x:v>
      </x:c>
      <x:c r="D28" s="77" t="str">
        <x:v>research@emmanuelle-charpentier.org</x:v>
      </x:c>
      <x:c r="E28" s="77" t="str">
        <x:v>低（疑似合作者邮箱）</x:v>
      </x:c>
      <x:c r="F28" s="77" t="str">
        <x:v>RNA-guided genome editing and bacterial RNA biology</x:v>
      </x:c>
      <x:c r="G28" s="77" t="str">
        <x:v>gene and cell therapy</x:v>
      </x:c>
      <x:c r="H28" s="77" t="str">
        <x:v>Insights into spacer acquisition of the type V-A CRISPR–Cas system of &lt;i&gt;Francisella novicida&lt;/i&gt; U112</x:v>
      </x:c>
      <x:c r="I28" s="89" t="n">
        <x:v>15</x:v>
      </x:c>
      <x:c r="J28" s="86" t="n">
        <x:v>90</x:v>
      </x:c>
      <x:c r="K28" s="77" t="str">
        <x:v>邮箱与PI姓名不匹配，不建议直接使用</x:v>
      </x:c>
      <x:c r="L28" s="78" t="str">
        <x:v>https://doi.org/10.1093/nar/gkag276</x:v>
      </x:c>
    </x:row>
    <x:row r="29">
      <x:c r="A29" s="84" t="n">
        <x:v>89</x:v>
      </x:c>
      <x:c r="B29" s="80" t="str">
        <x:v>Benedikt Beckmann</x:v>
      </x:c>
      <x:c r="C29" s="80" t="str">
        <x:v>Freie Universitat Berlin</x:v>
      </x:c>
      <x:c r="D29" s="80" t="str">
        <x:v>benedikt.beckmann@iri-lifesciences.de</x:v>
      </x:c>
      <x:c r="E29" s="80" t="str">
        <x:v>中等（较早论文通讯邮箱）</x:v>
      </x:c>
      <x:c r="F29" s="80" t="str">
        <x:v>RNA-protein interactions and RNA interactomics</x:v>
      </x:c>
      <x:c r="G29" s="80" t="str">
        <x:v>infection and stress-response mechanisms</x:v>
      </x:c>
      <x:c r="H29" s="80" t="str">
        <x:v>Giant magnetocaloric effect in a rare-earth-free layered coordination polymer at liquid hydrogen temperatures</x:v>
      </x:c>
      <x:c r="I29" s="90" t="n">
        <x:v>18.1</x:v>
      </x:c>
      <x:c r="J29" s="87" t="n">
        <x:v>86</x:v>
      </x:c>
      <x:c r="K29" s="80" t="str">
        <x:v>代表作标题未直接出现RNA关键词，但研究方向属于RNA范围；邮箱来源较早，发送前必须复核</x:v>
      </x:c>
      <x:c r="L29" s="81" t="str">
        <x:v>https://doi.org/10.1038/s41467-024-52837-x</x:v>
      </x:c>
    </x:row>
  </x:sheetData>
  <x:mergeCells>
    <x:mergeCell ref="A1:L1"/>
    <x:mergeCell ref="A2:L2"/>
  </x:mergeCells>
  <x:conditionalFormatting sqref="J5:J29">
    <x:cfRule type="colorScale" priority="1">
      <x:colorScale>
        <x:cfvo type="min"/>
        <x:cfvo type="percentile" val="50"/>
        <x:cfvo type="max"/>
        <x:color rgb="FFFEF3C7"/>
        <x:color rgb="FFDBEAFE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3c3ffb65ff14c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15" hidden="0" customWidth="1"/>
    <x:col min="5" max="5" width="32" hidden="0" customWidth="1"/>
    <x:col min="6" max="6" width="30" hidden="0" customWidth="1"/>
    <x:col min="7" max="7" width="48" hidden="0" customWidth="1"/>
    <x:col min="8" max="8" width="11" hidden="0" customWidth="1"/>
    <x:col min="9" max="9" width="48" hidden="0" customWidth="1"/>
    <x:col min="10" max="10" width="46" hidden="0" customWidth="1"/>
  </x:cols>
  <x:sheetData>
    <x:row r="1" ht="32" customHeight="1">
      <x:c r="A1" s="3" t="str">
        <x:v>首轮联系建议（Top 30）</x:v>
      </x:c>
    </x:row>
    <x:row r="2" ht="30" customHeight="1">
      <x:c r="A2" s="7" t="str">
        <x:v>适合先做实验室官网与近期招聘信息复核，再发送定制化套磁邮件。德国候选因用户偏好获得排序加权。</x:v>
      </x:c>
    </x:row>
    <x:row r="4" ht="34" customHeight="1">
      <x:c r="A4" s="13" t="str">
        <x:v>排名</x:v>
      </x:c>
      <x:c r="B4" s="13" t="str">
        <x:v>优先级</x:v>
      </x:c>
      <x:c r="C4" s="13" t="str">
        <x:v>PI姓名</x:v>
      </x:c>
      <x:c r="D4" s="13" t="str">
        <x:v>国家</x:v>
      </x:c>
      <x:c r="E4" s="13" t="str">
        <x:v>机构</x:v>
      </x:c>
      <x:c r="F4" s="13" t="str">
        <x:v>公开Email</x:v>
      </x:c>
      <x:c r="G4" s="13" t="str">
        <x:v>RNA/疾病匹配</x:v>
      </x:c>
      <x:c r="H4" s="13" t="str">
        <x:v>联系优先分</x:v>
      </x:c>
      <x:c r="I4" s="13" t="str">
        <x:v>代表性论文</x:v>
      </x:c>
      <x:c r="J4" s="13" t="str">
        <x:v>注意事项</x:v>
      </x:c>
    </x:row>
    <x:row r="5">
      <x:c r="A5" s="82" t="n">
        <x:v>1</x:v>
      </x:c>
      <x:c r="B5" s="85" t="str">
        <x:v>A-优先联系</x:v>
      </x:c>
      <x:c r="C5" s="74" t="str">
        <x:v>Andreas Keller</x:v>
      </x:c>
      <x:c r="D5" s="85" t="str">
        <x:v>Germany</x:v>
      </x:c>
      <x:c r="E5" s="74" t="str">
        <x:v>Saarland University</x:v>
      </x:c>
      <x:c r="F5" s="74" t="str">
        <x:v>andreas.keller@ccb.uni-saarland.de</x:v>
      </x:c>
      <x:c r="G5" s="74" t="str">
        <x:v>miRNA biomarkers and clinical bioinformatics｜liquid biopsy and precision diagnostics</x:v>
      </x:c>
      <x:c r="H5" s="85" t="n">
        <x:v>100</x:v>
      </x:c>
      <x:c r="I5" s="74" t="str">
        <x:v>A single-cell atlas to map sex-specific gene-expression changes in blood upon neurodegeneration</x:v>
      </x:c>
      <x:c r="J5" s="75" t="str">
        <x:v>建议发送前再用机构官网确认</x:v>
      </x:c>
    </x:row>
    <x:row r="6">
      <x:c r="A6" s="83" t="n">
        <x:v>2</x:v>
      </x:c>
      <x:c r="B6" s="86" t="str">
        <x:v>A-优先联系</x:v>
      </x:c>
      <x:c r="C6" s="77" t="str">
        <x:v>Florian Heyd</x:v>
      </x:c>
      <x:c r="D6" s="86" t="str">
        <x:v>Germany</x:v>
      </x:c>
      <x:c r="E6" s="77" t="str">
        <x:v>Freie Universitat Berlin</x:v>
      </x:c>
      <x:c r="F6" s="77" t="str">
        <x:v>florian.heyd@fu-berlin.de</x:v>
      </x:c>
      <x:c r="G6" s="77" t="str">
        <x:v>Alternative splicing and immune-cell RNA regulation｜immune disease and cancer</x:v>
      </x:c>
      <x:c r="H6" s="86" t="n">
        <x:v>100</x:v>
      </x:c>
      <x:c r="I6" s="77" t="str">
        <x:v>A Conserved Kinase-Based Body-Temperature Sensor Globally Controls Alternative Splicing and Gene Expression</x:v>
      </x:c>
      <x:c r="J6" s="78" t="str">
        <x:v>建议发送前再用机构官网确认</x:v>
      </x:c>
    </x:row>
    <x:row r="7">
      <x:c r="A7" s="83" t="n">
        <x:v>3</x:v>
      </x:c>
      <x:c r="B7" s="86" t="str">
        <x:v>A-优先联系</x:v>
      </x:c>
      <x:c r="C7" s="77" t="str">
        <x:v>Georg Stoecklin</x:v>
      </x:c>
      <x:c r="D7" s="86" t="str">
        <x:v>Germany</x:v>
      </x:c>
      <x:c r="E7" s="77" t="str">
        <x:v>Heidelberg University</x:v>
      </x:c>
      <x:c r="F7" s="77" t="str">
        <x:v>georg.stoecklin@medma.uni-heidelberg.de</x:v>
      </x:c>
      <x:c r="G7" s="77" t="str">
        <x:v>mRNA decay and post-transcriptional control｜inflammation and cancer</x:v>
      </x:c>
      <x:c r="H7" s="86" t="n">
        <x:v>100</x:v>
      </x:c>
      <x:c r="I7" s="77" t="str">
        <x:v>The two-step purification method ViREn identifies a single NSUN6-mediated 5-methylcytosine modification promoting dengue virus RNA genome turnover</x:v>
      </x:c>
      <x:c r="J7" s="78" t="str">
        <x:v>建议发送前再用机构官网确认</x:v>
      </x:c>
    </x:row>
    <x:row r="8">
      <x:c r="A8" s="83" t="n">
        <x:v>4</x:v>
      </x:c>
      <x:c r="B8" s="86" t="str">
        <x:v>A-优先联系</x:v>
      </x:c>
      <x:c r="C8" s="77" t="str">
        <x:v>Jan Medenbach</x:v>
      </x:c>
      <x:c r="D8" s="86" t="str">
        <x:v>Germany</x:v>
      </x:c>
      <x:c r="E8" s="77" t="str">
        <x:v>University of Regensburg</x:v>
      </x:c>
      <x:c r="F8" s="77" t="str">
        <x:v>Jan.Medenbach@ur.de</x:v>
      </x:c>
      <x:c r="G8" s="77" t="str">
        <x:v>Translational control and RNA-binding proteins｜cancer and metabolic disease</x:v>
      </x:c>
      <x:c r="H8" s="86" t="n">
        <x:v>100</x:v>
      </x:c>
      <x:c r="I8" s="77" t="str">
        <x:v>A rapid protocol for ribosome profiling of low input samples</x:v>
      </x:c>
      <x:c r="J8" s="78" t="str">
        <x:v>建议发送前再用机构官网确认</x:v>
      </x:c>
    </x:row>
    <x:row r="9">
      <x:c r="A9" s="83" t="n">
        <x:v>5</x:v>
      </x:c>
      <x:c r="B9" s="86" t="str">
        <x:v>A-优先联系</x:v>
      </x:c>
      <x:c r="C9" s="77" t="str">
        <x:v>Jorg Vogel</x:v>
      </x:c>
      <x:c r="D9" s="86" t="str">
        <x:v>Germany</x:v>
      </x:c>
      <x:c r="E9" s="77" t="str">
        <x:v>University of Wurzburg / HIRI</x:v>
      </x:c>
      <x:c r="F9" s="77" t="str">
        <x:v>joerg.vogel@uni-wuerzburg.de</x:v>
      </x:c>
      <x:c r="G9" s="77" t="str">
        <x:v>RNA biology of bacterial infection and RNA therapeutics｜infectious disease</x:v>
      </x:c>
      <x:c r="H9" s="86" t="n">
        <x:v>100</x:v>
      </x:c>
      <x:c r="I9" s="77" t="str">
        <x:v>Translation-dependent degradation of cas12 mRNA triggered by an anti-CRISPR</x:v>
      </x:c>
      <x:c r="J9" s="78" t="str">
        <x:v>建议发送前再用机构官网确认</x:v>
      </x:c>
    </x:row>
    <x:row r="10">
      <x:c r="A10" s="83" t="n">
        <x:v>6</x:v>
      </x:c>
      <x:c r="B10" s="86" t="str">
        <x:v>A-优先联系</x:v>
      </x:c>
      <x:c r="C10" s="77" t="str">
        <x:v>Lars Dolken</x:v>
      </x:c>
      <x:c r="D10" s="86" t="str">
        <x:v>Germany</x:v>
      </x:c>
      <x:c r="E10" s="77" t="str">
        <x:v>University of Wurzburg</x:v>
      </x:c>
      <x:c r="F10" s="77" t="str">
        <x:v>Doelken.Lars@mh-hannover.de</x:v>
      </x:c>
      <x:c r="G10" s="77" t="str">
        <x:v>Viral RNA, transcriptomics and antiviral mechanisms｜viral infection</x:v>
      </x:c>
      <x:c r="H10" s="86" t="n">
        <x:v>100</x:v>
      </x:c>
      <x:c r="I10" s="77" t="str">
        <x:v>Host cell Z-RNAs activate ZBP1 during virus infections</x:v>
      </x:c>
      <x:c r="J10" s="78" t="str">
        <x:v>建议发送前再用机构官网确认</x:v>
      </x:c>
    </x:row>
    <x:row r="11">
      <x:c r="A11" s="83" t="n">
        <x:v>7</x:v>
      </x:c>
      <x:c r="B11" s="86" t="str">
        <x:v>A-优先联系</x:v>
      </x:c>
      <x:c r="C11" s="77" t="str">
        <x:v>Lars Zender</x:v>
      </x:c>
      <x:c r="D11" s="86" t="str">
        <x:v>Germany</x:v>
      </x:c>
      <x:c r="E11" s="77" t="str">
        <x:v>University Hospital Tubingen</x:v>
      </x:c>
      <x:c r="F11" s="77" t="str">
        <x:v>lars.zender@med.uni-tuebingen.de</x:v>
      </x:c>
      <x:c r="G11" s="77" t="str">
        <x:v>Functional genomics and non-coding RNA in cancer｜liver cancer</x:v>
      </x:c>
      <x:c r="H11" s="86" t="n">
        <x:v>100</x:v>
      </x:c>
      <x:c r="I11" s="77" t="str">
        <x:v>Author Correction: mTOR regulates MAPKAPK2 translation to control the senescence-associated secretory phenotype</x:v>
      </x:c>
      <x:c r="J11" s="78" t="str">
        <x:v>建议发送前再用机构官网确认</x:v>
      </x:c>
    </x:row>
    <x:row r="12">
      <x:c r="A12" s="83" t="n">
        <x:v>8</x:v>
      </x:c>
      <x:c r="B12" s="86" t="str">
        <x:v>A-优先联系</x:v>
      </x:c>
      <x:c r="C12" s="77" t="str">
        <x:v>Michaela Frye</x:v>
      </x:c>
      <x:c r="D12" s="86" t="str">
        <x:v>Germany</x:v>
      </x:c>
      <x:c r="E12" s="77" t="str">
        <x:v>German Cancer Research Center</x:v>
      </x:c>
      <x:c r="F12" s="77" t="str">
        <x:v>m.frye@dkfz.de</x:v>
      </x:c>
      <x:c r="G12" s="77" t="str">
        <x:v>RNA modifications and stem-cell/cancer biology｜cancer and tissue regeneration</x:v>
      </x:c>
      <x:c r="H12" s="86" t="n">
        <x:v>100</x:v>
      </x:c>
      <x:c r="I12" s="77" t="str">
        <x:v>Disrupting tRNA modifications to target mitochondrial vulnerabilities in drug-resistant leukemia cells</x:v>
      </x:c>
      <x:c r="J12" s="78" t="str">
        <x:v>建议发送前再用机构官网确认</x:v>
      </x:c>
    </x:row>
    <x:row r="13">
      <x:c r="A13" s="83" t="n">
        <x:v>9</x:v>
      </x:c>
      <x:c r="B13" s="86" t="str">
        <x:v>A-优先联系</x:v>
      </x:c>
      <x:c r="C13" s="77" t="str">
        <x:v>Niels Gehring</x:v>
      </x:c>
      <x:c r="D13" s="86" t="str">
        <x:v>Germany</x:v>
      </x:c>
      <x:c r="E13" s="77" t="str">
        <x:v>University of Cologne</x:v>
      </x:c>
      <x:c r="F13" s="77" t="str">
        <x:v>ngehring@uni-koeln.de</x:v>
      </x:c>
      <x:c r="G13" s="77" t="str">
        <x:v>RNA quality control and nonsense-mediated decay｜genetic disease</x:v>
      </x:c>
      <x:c r="H13" s="86" t="n">
        <x:v>100</x:v>
      </x:c>
      <x:c r="I13" s="77" t="str">
        <x:v>SMG1:SMG8:SMG9-complex integrity supports efficient execution of nonsense-mediated mRNA decay</x:v>
      </x:c>
      <x:c r="J13" s="78" t="str">
        <x:v>建议发送前再用机构官网确认</x:v>
      </x:c>
    </x:row>
    <x:row r="14">
      <x:c r="A14" s="83" t="n">
        <x:v>10</x:v>
      </x:c>
      <x:c r="B14" s="86" t="str">
        <x:v>A-优先联系</x:v>
      </x:c>
      <x:c r="C14" s="77" t="str">
        <x:v>Nikolaus Rajewsky</x:v>
      </x:c>
      <x:c r="D14" s="86" t="str">
        <x:v>Germany</x:v>
      </x:c>
      <x:c r="E14" s="77" t="str">
        <x:v>Max Delbruck Center</x:v>
      </x:c>
      <x:c r="F14" s="77" t="str">
        <x:v>rajewsky@mdc-berlin.de</x:v>
      </x:c>
      <x:c r="G14" s="77" t="str">
        <x:v>Systems biology, single-cell RNA and regulatory RNA｜precision medicine and disease models</x:v>
      </x:c>
      <x:c r="H14" s="86" t="n">
        <x:v>100</x:v>
      </x:c>
      <x:c r="I14" s="77" t="str">
        <x:v>The Biodiversity Cell Atlas: mapping the tree of life at cellular resolution</x:v>
      </x:c>
      <x:c r="J14" s="78" t="str">
        <x:v>建议发送前再用机构官网确认</x:v>
      </x:c>
    </x:row>
    <x:row r="15">
      <x:c r="A15" s="83" t="n">
        <x:v>11</x:v>
      </x:c>
      <x:c r="B15" s="86" t="str">
        <x:v>A-优先联系</x:v>
      </x:c>
      <x:c r="C15" s="77" t="str">
        <x:v>Oliver Stegle</x:v>
      </x:c>
      <x:c r="D15" s="86" t="str">
        <x:v>Germany</x:v>
      </x:c>
      <x:c r="E15" s="77" t="str">
        <x:v>EMBL / DKFZ</x:v>
      </x:c>
      <x:c r="F15" s="77" t="str">
        <x:v>oliver.stegle@embl.de</x:v>
      </x:c>
      <x:c r="G15" s="77" t="str">
        <x:v>Single-cell genomics and statistical transcriptomics｜cancer and precision medicine</x:v>
      </x:c>
      <x:c r="H15" s="86" t="n">
        <x:v>100</x:v>
      </x:c>
      <x:c r="I15" s="77" t="str">
        <x:v>Cell2fate infers RNA velocity modules to improve cell fate prediction</x:v>
      </x:c>
      <x:c r="J15" s="78" t="str">
        <x:v>建议发送前再用机构官网确认</x:v>
      </x:c>
    </x:row>
    <x:row r="16">
      <x:c r="A16" s="83" t="n">
        <x:v>12</x:v>
      </x:c>
      <x:c r="B16" s="86" t="str">
        <x:v>A-优先联系</x:v>
      </x:c>
      <x:c r="C16" s="77" t="str">
        <x:v>Stefan Engelhardt</x:v>
      </x:c>
      <x:c r="D16" s="86" t="str">
        <x:v>Germany</x:v>
      </x:c>
      <x:c r="E16" s="77" t="str">
        <x:v>Technical University of Munich / Helmholtz Munich</x:v>
      </x:c>
      <x:c r="F16" s="77" t="str">
        <x:v>Stefan.engelhardt@tum.de</x:v>
      </x:c>
      <x:c r="G16" s="77" t="str">
        <x:v>Non-coding RNA and oligonucleotide therapeutics｜cardiovascular disease</x:v>
      </x:c>
      <x:c r="H16" s="86" t="n">
        <x:v>100</x:v>
      </x:c>
      <x:c r="I16" s="77" t="str">
        <x:v>Allele-specific genomics decodes gene targets and mechanisms of the non-coding genome</x:v>
      </x:c>
      <x:c r="J16" s="78" t="str">
        <x:v>建议发送前再用机构官网确认</x:v>
      </x:c>
    </x:row>
    <x:row r="17">
      <x:c r="A17" s="83" t="n">
        <x:v>13</x:v>
      </x:c>
      <x:c r="B17" s="86" t="str">
        <x:v>A-优先联系</x:v>
      </x:c>
      <x:c r="C17" s="77" t="str">
        <x:v>Stefan Huttelmaier</x:v>
      </x:c>
      <x:c r="D17" s="86" t="str">
        <x:v>Germany</x:v>
      </x:c>
      <x:c r="E17" s="77" t="str">
        <x:v>Martin Luther University Halle-Wittenberg</x:v>
      </x:c>
      <x:c r="F17" s="77" t="str">
        <x:v>stefan.huettelmaier@medizin.uni-halle.de</x:v>
      </x:c>
      <x:c r="G17" s="77" t="str">
        <x:v>RNA-binding proteins and post-transcriptional cancer biology｜cancer progression and biomarkers</x:v>
      </x:c>
      <x:c r="H17" s="86" t="n">
        <x:v>100</x:v>
      </x:c>
      <x:c r="I17" s="77" t="str">
        <x:v>Lineage-restricted dependency on an oncofetal SNHG29-IGF2BP1 RNA axis in acute megakaryoblastic leukemia</x:v>
      </x:c>
      <x:c r="J17" s="78" t="str">
        <x:v>建议发送前再用机构官网确认</x:v>
      </x:c>
    </x:row>
    <x:row r="18">
      <x:c r="A18" s="83" t="n">
        <x:v>14</x:v>
      </x:c>
      <x:c r="B18" s="86" t="str">
        <x:v>A-优先联系</x:v>
      </x:c>
      <x:c r="C18" s="77" t="str">
        <x:v>Sven Danckwardt</x:v>
      </x:c>
      <x:c r="D18" s="86" t="str">
        <x:v>Germany</x:v>
      </x:c>
      <x:c r="E18" s="77" t="str">
        <x:v>University Medical Center Mainz</x:v>
      </x:c>
      <x:c r="F18" s="77" t="str">
        <x:v>Sven.Danckwardt@unimedizin-mainz.de</x:v>
      </x:c>
      <x:c r="G18" s="77" t="str">
        <x:v>Post-transcriptional RNA regulation and RNA therapeutics｜inflammation, vascular disease and cancer</x:v>
      </x:c>
      <x:c r="H18" s="86" t="n">
        <x:v>100</x:v>
      </x:c>
      <x:c r="I18" s="77" t="str">
        <x:v>TREND-DB—a transcriptome-wide atlas of the dynamic landscape of alternative polyadenylation</x:v>
      </x:c>
      <x:c r="J18" s="78" t="str">
        <x:v>建议发送前再用机构官网确认</x:v>
      </x:c>
    </x:row>
    <x:row r="19">
      <x:c r="A19" s="83" t="n">
        <x:v>15</x:v>
      </x:c>
      <x:c r="B19" s="86" t="str">
        <x:v>A-优先联系</x:v>
      </x:c>
      <x:c r="C19" s="77" t="str">
        <x:v>Tony Gutschner</x:v>
      </x:c>
      <x:c r="D19" s="86" t="str">
        <x:v>Germany</x:v>
      </x:c>
      <x:c r="E19" s="77" t="str">
        <x:v>Martin Luther University Halle-Wittenberg</x:v>
      </x:c>
      <x:c r="F19" s="77" t="str">
        <x:v>tony.gutschner@uk-halle.de</x:v>
      </x:c>
      <x:c r="G19" s="77" t="str">
        <x:v>Long non-coding RNA and functional cancer genomics｜cancer biomarkers and therapy</x:v>
      </x:c>
      <x:c r="H19" s="86" t="n">
        <x:v>100</x:v>
      </x:c>
      <x:c r="I19" s="77" t="str">
        <x:v>RAVER1 hinders lethal EMT and modulates miR/RISC activity by the control of alternative splicing</x:v>
      </x:c>
      <x:c r="J19" s="78" t="str">
        <x:v>建议发送前再用机构官网确认</x:v>
      </x:c>
    </x:row>
    <x:row r="20">
      <x:c r="A20" s="83" t="n">
        <x:v>16</x:v>
      </x:c>
      <x:c r="B20" s="86" t="str">
        <x:v>A-优先联系</x:v>
      </x:c>
      <x:c r="C20" s="77" t="str">
        <x:v>Alessandro Fatica</x:v>
      </x:c>
      <x:c r="D20" s="86" t="str">
        <x:v>Italy</x:v>
      </x:c>
      <x:c r="E20" s="77" t="str">
        <x:v>Sapienza University of Rome</x:v>
      </x:c>
      <x:c r="F20" s="77" t="str">
        <x:v>alessandro.fatica@uniroma1.it</x:v>
      </x:c>
      <x:c r="G20" s="77" t="str">
        <x:v>Non-coding RNA and RNA modifications｜leukemia</x:v>
      </x:c>
      <x:c r="H20" s="86" t="n">
        <x:v>100</x:v>
      </x:c>
      <x:c r="I20" s="77" t="str">
        <x:v>RNA sequestration in P-bodies sustains myeloid leukaemia</x:v>
      </x:c>
      <x:c r="J20" s="78" t="str">
        <x:v>建议发送前再用机构官网确认</x:v>
      </x:c>
    </x:row>
    <x:row r="21">
      <x:c r="A21" s="83" t="n">
        <x:v>17</x:v>
      </x:c>
      <x:c r="B21" s="86" t="str">
        <x:v>A-优先联系</x:v>
      </x:c>
      <x:c r="C21" s="77" t="str">
        <x:v>Alessandro Quattrone</x:v>
      </x:c>
      <x:c r="D21" s="86" t="str">
        <x:v>Italy</x:v>
      </x:c>
      <x:c r="E21" s="77" t="str">
        <x:v>University of Trento</x:v>
      </x:c>
      <x:c r="F21" s="77" t="str">
        <x:v>alessandro.quattrone@unitn.it</x:v>
      </x:c>
      <x:c r="G21" s="77" t="str">
        <x:v>Translational control and RNA in cancer｜cancer</x:v>
      </x:c>
      <x:c r="H21" s="86" t="n">
        <x:v>100</x:v>
      </x:c>
      <x:c r="I21" s="77" t="str">
        <x:v>Translational enhancement by base editing of the Kozak sequence rescues haploinsufficiency</x:v>
      </x:c>
      <x:c r="J21" s="78" t="str">
        <x:v>建议发送前再用机构官网确认</x:v>
      </x:c>
    </x:row>
    <x:row r="22">
      <x:c r="A22" s="83" t="n">
        <x:v>18</x:v>
      </x:c>
      <x:c r="B22" s="86" t="str">
        <x:v>A-优先联系</x:v>
      </x:c>
      <x:c r="C22" s="77" t="str">
        <x:v>Anders Stahlberg</x:v>
      </x:c>
      <x:c r="D22" s="86" t="str">
        <x:v>Sweden</x:v>
      </x:c>
      <x:c r="E22" s="77" t="str">
        <x:v>University of Gothenburg</x:v>
      </x:c>
      <x:c r="F22" s="77" t="str">
        <x:v>anders.stahlberg@gu.se</x:v>
      </x:c>
      <x:c r="G22" s="77" t="str">
        <x:v>Liquid biopsy, RNA biomarkers and molecular diagnostics｜cancer diagnostics</x:v>
      </x:c>
      <x:c r="H22" s="86" t="n">
        <x:v>100</x:v>
      </x:c>
      <x:c r="I22" s="77" t="str">
        <x:v>CRISPR-Cas target recognition for sensing viral and cancer biomarkers</x:v>
      </x:c>
      <x:c r="J22" s="78" t="str">
        <x:v>建议发送前再用机构官网确认</x:v>
      </x:c>
    </x:row>
    <x:row r="23">
      <x:c r="A23" s="83" t="n">
        <x:v>19</x:v>
      </x:c>
      <x:c r="B23" s="86" t="str">
        <x:v>A-优先联系</x:v>
      </x:c>
      <x:c r="C23" s="77" t="str">
        <x:v>Andreas Meyerhans</x:v>
      </x:c>
      <x:c r="D23" s="86" t="str">
        <x:v>Spain</x:v>
      </x:c>
      <x:c r="E23" s="77" t="str">
        <x:v>Pompeu Fabra University</x:v>
      </x:c>
      <x:c r="F23" s="77" t="str">
        <x:v>andreas.meyerhans@upf.edu</x:v>
      </x:c>
      <x:c r="G23" s="77" t="str">
        <x:v>RNA viruses and antiviral immunity｜HIV and emerging viruses</x:v>
      </x:c>
      <x:c r="H23" s="86" t="n">
        <x:v>100</x:v>
      </x:c>
      <x:c r="I23" s="77" t="str">
        <x:v>XCR1+ DCs are critical for T cell-mediated immunotherapy of chronic viral infections</x:v>
      </x:c>
      <x:c r="J23" s="78" t="str">
        <x:v>建议发送前再用机构官网确认</x:v>
      </x:c>
    </x:row>
    <x:row r="24">
      <x:c r="A24" s="83" t="n">
        <x:v>20</x:v>
      </x:c>
      <x:c r="B24" s="86" t="str">
        <x:v>A-优先联系</x:v>
      </x:c>
      <x:c r="C24" s="77" t="str">
        <x:v>Annemieke Aartsma-Rus</x:v>
      </x:c>
      <x:c r="D24" s="86" t="str">
        <x:v>Netherlands</x:v>
      </x:c>
      <x:c r="E24" s="77" t="str">
        <x:v>Leiden University Medical Center</x:v>
      </x:c>
      <x:c r="F24" s="77" t="str">
        <x:v>a.m.aartsma-rus@lumc.nl</x:v>
      </x:c>
      <x:c r="G24" s="77" t="str">
        <x:v>Antisense oligonucleotide and RNA therapies｜Duchenne muscular dystrophy</x:v>
      </x:c>
      <x:c r="H24" s="86" t="n">
        <x:v>100</x:v>
      </x:c>
      <x:c r="I24" s="77" t="str">
        <x:v>Spatial transcriptomics reveal markers of histopathological changes in Duchenne muscular dystrophy mouse models</x:v>
      </x:c>
      <x:c r="J24" s="78" t="str">
        <x:v>建议发送前再用机构官网确认</x:v>
      </x:c>
    </x:row>
    <x:row r="25">
      <x:c r="A25" s="83" t="n">
        <x:v>21</x:v>
      </x:c>
      <x:c r="B25" s="86" t="str">
        <x:v>A-优先联系</x:v>
      </x:c>
      <x:c r="C25" s="77" t="str">
        <x:v>Bart De Strooper</x:v>
      </x:c>
      <x:c r="D25" s="86" t="str">
        <x:v>Belgium</x:v>
      </x:c>
      <x:c r="E25" s="77" t="str">
        <x:v>VIB-KU Leuven / UK Dementia Research Institute</x:v>
      </x:c>
      <x:c r="F25" s="77" t="str">
        <x:v>b.strooper@ukdri.ucl.ac.uk</x:v>
      </x:c>
      <x:c r="G25" s="77" t="str">
        <x:v>Single-cell transcriptomics and neurodegeneration｜Alzheimer's disease</x:v>
      </x:c>
      <x:c r="H25" s="86" t="n">
        <x:v>100</x:v>
      </x:c>
      <x:c r="I25" s="77" t="str">
        <x:v>The APOE isoforms differentially shape the transcriptomic and epigenomic landscapes of human microglia xenografted into a mouse model of Alzheimer’s disease</x:v>
      </x:c>
      <x:c r="J25" s="78" t="str">
        <x:v>建议发送前再用机构官网确认</x:v>
      </x:c>
    </x:row>
    <x:row r="26">
      <x:c r="A26" s="83" t="n">
        <x:v>22</x:v>
      </x:c>
      <x:c r="B26" s="86" t="str">
        <x:v>A-优先联系</x:v>
      </x:c>
      <x:c r="C26" s="77" t="str">
        <x:v>Botond Roska</x:v>
      </x:c>
      <x:c r="D26" s="86" t="str">
        <x:v>Switzerland</x:v>
      </x:c>
      <x:c r="E26" s="77" t="str">
        <x:v>Institute of Molecular and Clinical Ophthalmology Basel</x:v>
      </x:c>
      <x:c r="F26" s="77" t="str">
        <x:v>botond.roska@iob.ch</x:v>
      </x:c>
      <x:c r="G26" s="77" t="str">
        <x:v>Single-cell transcriptomics and gene therapy｜blindness and retinal disease</x:v>
      </x:c>
      <x:c r="H26" s="86" t="n">
        <x:v>100</x:v>
      </x:c>
      <x:c r="I26" s="77" t="str">
        <x:v>Roadmap for direct and indirect translation of optogenetics into discoveries and therapies for humans</x:v>
      </x:c>
      <x:c r="J26" s="78" t="str">
        <x:v>建议发送前再用机构官网确认</x:v>
      </x:c>
    </x:row>
    <x:row r="27">
      <x:c r="A27" s="83" t="n">
        <x:v>23</x:v>
      </x:c>
      <x:c r="B27" s="86" t="str">
        <x:v>A-优先联系</x:v>
      </x:c>
      <x:c r="C27" s="77" t="str">
        <x:v>Claudia Ghigna</x:v>
      </x:c>
      <x:c r="D27" s="86" t="str">
        <x:v>Italy</x:v>
      </x:c>
      <x:c r="E27" s="77" t="str">
        <x:v>University of Pavia</x:v>
      </x:c>
      <x:c r="F27" s="77" t="str">
        <x:v>claudia.ghigna@igm.cnr.it</x:v>
      </x:c>
      <x:c r="G27" s="77" t="str">
        <x:v>Alternative splicing in cancer｜cancer</x:v>
      </x:c>
      <x:c r="H27" s="86" t="n">
        <x:v>100</x:v>
      </x:c>
      <x:c r="I27" s="77" t="str">
        <x:v>A ligand-insensitive UNC5B splicing isoform regulates angiogenesis by promoting apoptosis</x:v>
      </x:c>
      <x:c r="J27" s="78" t="str">
        <x:v>建议发送前再用机构官网确认</x:v>
      </x:c>
    </x:row>
    <x:row r="28">
      <x:c r="A28" s="83" t="n">
        <x:v>24</x:v>
      </x:c>
      <x:c r="B28" s="86" t="str">
        <x:v>A-优先联系</x:v>
      </x:c>
      <x:c r="C28" s="77" t="str">
        <x:v>Claudia Kutter</x:v>
      </x:c>
      <x:c r="D28" s="86" t="str">
        <x:v>Sweden</x:v>
      </x:c>
      <x:c r="E28" s="77" t="str">
        <x:v>Karolinska Institutet</x:v>
      </x:c>
      <x:c r="F28" s="77" t="str">
        <x:v>claudia.kutter@ki.se</x:v>
      </x:c>
      <x:c r="G28" s="77" t="str">
        <x:v>Long non-coding RNA and liver disease｜metabolic liver disease and cancer</x:v>
      </x:c>
      <x:c r="H28" s="86" t="n">
        <x:v>100</x:v>
      </x:c>
      <x:c r="I28" s="77" t="str">
        <x:v>RAPseq enables large-scale identification of RBP–RNA interactions and reveals essentials of post-transcriptional gene regulation</x:v>
      </x:c>
      <x:c r="J28" s="78" t="str">
        <x:v>建议发送前再用机构官网确认</x:v>
      </x:c>
    </x:row>
    <x:row r="29">
      <x:c r="A29" s="83" t="n">
        <x:v>25</x:v>
      </x:c>
      <x:c r="B29" s="86" t="str">
        <x:v>A-优先联系</x:v>
      </x:c>
      <x:c r="C29" s="77" t="str">
        <x:v>Didier Auboeuf</x:v>
      </x:c>
      <x:c r="D29" s="86" t="str">
        <x:v>France</x:v>
      </x:c>
      <x:c r="E29" s="77" t="str">
        <x:v>Cancer Research Center of Lyon</x:v>
      </x:c>
      <x:c r="F29" s="77" t="str">
        <x:v>didier.auboeuf@inserm.fr</x:v>
      </x:c>
      <x:c r="G29" s="77" t="str">
        <x:v>Alternative splicing and RNA regulation in cancer｜cancer</x:v>
      </x:c>
      <x:c r="H29" s="86" t="n">
        <x:v>100</x:v>
      </x:c>
      <x:c r="I29" s="77" t="str">
        <x:v>Gene-to-gene coordinated regulation of transcription and alternative splicing by 3D chromatin remodeling upon NF-κB activation</x:v>
      </x:c>
      <x:c r="J29" s="78" t="str">
        <x:v>建议发送前再用机构官网确认</x:v>
      </x:c>
    </x:row>
    <x:row r="30">
      <x:c r="A30" s="83" t="n">
        <x:v>26</x:v>
      </x:c>
      <x:c r="B30" s="86" t="str">
        <x:v>A-优先联系</x:v>
      </x:c>
      <x:c r="C30" s="77" t="str">
        <x:v>Diether Lambrechts</x:v>
      </x:c>
      <x:c r="D30" s="86" t="str">
        <x:v>Belgium</x:v>
      </x:c>
      <x:c r="E30" s="77" t="str">
        <x:v>VIB-KU Leuven Center for Cancer Biology</x:v>
      </x:c>
      <x:c r="F30" s="77" t="str">
        <x:v>Diether.Lambrechts@kuleuven.be</x:v>
      </x:c>
      <x:c r="G30" s="77" t="str">
        <x:v>Single-cell and spatial transcriptomics in cancer｜precision oncology</x:v>
      </x:c>
      <x:c r="H30" s="86" t="n">
        <x:v>100</x:v>
      </x:c>
      <x:c r="I30" s="77" t="str">
        <x:v>A spatial architecture-embedding HLA signature to predict clinical response to immunotherapy in renal cell carcinoma</x:v>
      </x:c>
      <x:c r="J30" s="78" t="str">
        <x:v>建议发送前再用机构官网确认</x:v>
      </x:c>
    </x:row>
    <x:row r="31">
      <x:c r="A31" s="83" t="n">
        <x:v>27</x:v>
      </x:c>
      <x:c r="B31" s="86" t="str">
        <x:v>A-优先联系</x:v>
      </x:c>
      <x:c r="C31" s="77" t="str">
        <x:v>Eivind Hovig</x:v>
      </x:c>
      <x:c r="D31" s="86" t="str">
        <x:v>Norway</x:v>
      </x:c>
      <x:c r="E31" s="77" t="str">
        <x:v>Oslo University Hospital / University of Oslo</x:v>
      </x:c>
      <x:c r="F31" s="77" t="str">
        <x:v>ehovig@ifi.uio.no</x:v>
      </x:c>
      <x:c r="G31" s="77" t="str">
        <x:v>Cancer genomics and transcriptomics｜precision oncology</x:v>
      </x:c>
      <x:c r="H31" s="86" t="n">
        <x:v>100</x:v>
      </x:c>
      <x:c r="I31" s="77" t="str">
        <x:v>JASPAR 2026: expansion of transcription factor binding profiles and integration of deep learning models</x:v>
      </x:c>
      <x:c r="J31" s="78" t="str">
        <x:v>建议发送前再用机构官网确认</x:v>
      </x:c>
    </x:row>
    <x:row r="32">
      <x:c r="A32" s="83" t="n">
        <x:v>28</x:v>
      </x:c>
      <x:c r="B32" s="86" t="str">
        <x:v>A-优先联系</x:v>
      </x:c>
      <x:c r="C32" s="77" t="str">
        <x:v>Emmanuel Barillot</x:v>
      </x:c>
      <x:c r="D32" s="86" t="str">
        <x:v>France</x:v>
      </x:c>
      <x:c r="E32" s="77" t="str">
        <x:v>Institut Curie</x:v>
      </x:c>
      <x:c r="F32" s="77" t="str">
        <x:v>emmanuel.barillot@curie.fr</x:v>
      </x:c>
      <x:c r="G32" s="77" t="str">
        <x:v>Cancer systems biology and transcriptomics｜precision oncology</x:v>
      </x:c>
      <x:c r="H32" s="86" t="n">
        <x:v>100</x:v>
      </x:c>
      <x:c r="I32" s="77" t="str">
        <x:v>sCellST predicts single-cell gene expression from H&amp;amp; E images</x:v>
      </x:c>
      <x:c r="J32" s="78" t="str">
        <x:v>建议发送前再用机构官网确认</x:v>
      </x:c>
    </x:row>
    <x:row r="33">
      <x:c r="A33" s="83" t="n">
        <x:v>29</x:v>
      </x:c>
      <x:c r="B33" s="86" t="str">
        <x:v>A-优先联系</x:v>
      </x:c>
      <x:c r="C33" s="77" t="str">
        <x:v>Eva van Rooij</x:v>
      </x:c>
      <x:c r="D33" s="86" t="str">
        <x:v>Netherlands</x:v>
      </x:c>
      <x:c r="E33" s="77" t="str">
        <x:v>Hubrecht Institute / UMC Utrecht</x:v>
      </x:c>
      <x:c r="F33" s="77" t="str">
        <x:v>e.vanrooij@hubrecht.eu</x:v>
      </x:c>
      <x:c r="G33" s="77" t="str">
        <x:v>Non-coding RNA and RNA therapeutics｜cardiovascular disease</x:v>
      </x:c>
      <x:c r="H33" s="86" t="n">
        <x:v>100</x:v>
      </x:c>
      <x:c r="I33" s="77" t="str">
        <x:v>Single-cell transcriptomics provides insights into hypertrophic cardiomyopathy</x:v>
      </x:c>
      <x:c r="J33" s="78" t="str">
        <x:v>建议发送前再用机构官网确认</x:v>
      </x:c>
    </x:row>
    <x:row r="34">
      <x:c r="A34" s="84" t="n">
        <x:v>30</x:v>
      </x:c>
      <x:c r="B34" s="87" t="str">
        <x:v>A-优先联系</x:v>
      </x:c>
      <x:c r="C34" s="80" t="str">
        <x:v>Fatima Gebauer</x:v>
      </x:c>
      <x:c r="D34" s="87" t="str">
        <x:v>Spain</x:v>
      </x:c>
      <x:c r="E34" s="80" t="str">
        <x:v>Centre for Genomic Regulation</x:v>
      </x:c>
      <x:c r="F34" s="80" t="str">
        <x:v>fatima.gebauer@crg.eu</x:v>
      </x:c>
      <x:c r="G34" s="80" t="str">
        <x:v>Translational control and RNA-binding proteins｜cancer</x:v>
      </x:c>
      <x:c r="H34" s="87" t="n">
        <x:v>100</x:v>
      </x:c>
      <x:c r="I34" s="80" t="str">
        <x:v>Rethinking RNA-binding proteins: Riboregulation challenges prevailing views</x:v>
      </x:c>
      <x:c r="J34" s="81" t="str">
        <x:v>建议发送前再用机构官网确认</x:v>
      </x:c>
    </x:row>
  </x:sheetData>
  <x:mergeCells>
    <x:mergeCell ref="A1:J1"/>
    <x:mergeCell ref="A2:J2"/>
  </x:mergeCells>
  <x:conditionalFormatting sqref="D5:D34">
    <x:cfRule type="containsText" dxfId="4" priority="1" operator="containsText" text="Germany"/>
  </x:conditionalFormatting>
  <x:pageMargins left="0.7" right="0.7" top="0.75" bottom="0.75" header="0.3" footer="0.3"/>
  <x:tableParts count="1">
    <x:tablePart xmlns:r="http://schemas.openxmlformats.org/officeDocument/2006/relationships" r:id="R6979adc53d7b43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" hidden="0" customWidth="1"/>
    <x:col min="4" max="4" width="22" hidden="0" customWidth="1"/>
    <x:col min="5" max="5" width="12" hidden="0" customWidth="1"/>
    <x:col min="6" max="6" width="12" hidden="0" customWidth="1"/>
    <x:col min="7" max="7" width="4" hidden="0" customWidth="1"/>
    <x:col min="8" max="8" width="4" hidden="0" customWidth="1"/>
  </x:cols>
  <x:sheetData>
    <x:row r="1" ht="32" customHeight="1">
      <x:c r="A1" s="3" t="str">
        <x:v>候选库覆盖与质量概览</x:v>
      </x:c>
    </x:row>
    <x:row r="2" ht="30" customHeight="1">
      <x:c r="A2" s="7" t="str">
        <x:v>统计均来自最终 100 位名单；用于观察德国优先程度、国家分布及联系方式完整度。</x:v>
      </x:c>
    </x:row>
    <x:row r="4" ht="34" customHeight="1">
      <x:c r="A4" s="13" t="str">
        <x:v>核心指标</x:v>
      </x:c>
      <x:c r="B4" s="13" t="str">
        <x:v>数量</x:v>
      </x:c>
      <x:c r="D4" s="13" t="str">
        <x:v>国家</x:v>
      </x:c>
      <x:c r="E4" s="13" t="str">
        <x:v>候选数</x:v>
      </x:c>
      <x:c r="F4" s="13" t="str">
        <x:v>占比</x:v>
      </x:c>
    </x:row>
    <x:row r="5">
      <x:c r="A5" s="92" t="str">
        <x:v>最终候选</x:v>
      </x:c>
      <x:c r="B5" s="98" t="n">
        <x:f>COUNTA('候选名单'!$C$5:$C$104)</x:f>
        <x:v>100</x:v>
      </x:c>
      <x:c r="D5" s="104" t="str">
        <x:v>Germany</x:v>
      </x:c>
      <x:c r="E5" s="113" t="n">
        <x:f>COUNTIF('候选名单'!$D$5:$D$104,D5)</x:f>
        <x:v>25</x:v>
      </x:c>
      <x:c r="F5" s="114" t="n">
        <x:f>E5/$B$5</x:f>
        <x:v>0.25</x:v>
      </x:c>
    </x:row>
    <x:row r="6">
      <x:c r="A6" s="94" t="str">
        <x:v>德国候选</x:v>
      </x:c>
      <x:c r="B6" s="99" t="n">
        <x:f>COUNTIF('候选名单'!$D$5:$D$104,"Germany")</x:f>
        <x:v>25</x:v>
      </x:c>
      <x:c r="D6" s="107" t="str">
        <x:v>Sweden</x:v>
      </x:c>
      <x:c r="E6" s="115" t="n">
        <x:f>COUNTIF('候选名单'!$D$5:$D$104,D6)</x:f>
        <x:v>9</x:v>
      </x:c>
      <x:c r="F6" s="116" t="n">
        <x:f>E6/$B$5</x:f>
        <x:v>0.09</x:v>
      </x:c>
    </x:row>
    <x:row r="7">
      <x:c r="A7" s="94" t="str">
        <x:v>有公开Email</x:v>
      </x:c>
      <x:c r="B7" s="99" t="n">
        <x:f>COUNTIF('候选名单'!$F$5:$F$104,"&lt;&gt;未找到")</x:f>
        <x:v>100</x:v>
      </x:c>
      <x:c r="D7" s="107" t="str">
        <x:v>Spain</x:v>
      </x:c>
      <x:c r="E7" s="115" t="n">
        <x:f>COUNTIF('候选名单'!$D$5:$D$104,D7)</x:f>
        <x:v>9</x:v>
      </x:c>
      <x:c r="F7" s="116" t="n">
        <x:f>E7/$B$5</x:f>
        <x:v>0.09</x:v>
      </x:c>
    </x:row>
    <x:row r="8">
      <x:c r="A8" s="96" t="str">
        <x:v>邮箱可信度中等或较高</x:v>
      </x:c>
      <x:c r="B8" s="100" t="n">
        <x:f>COUNTIF('候选名单'!$N$5:$N$104,"&gt;0")</x:f>
        <x:v>98</x:v>
      </x:c>
      <x:c r="D8" s="107" t="str">
        <x:v>Italy</x:v>
      </x:c>
      <x:c r="E8" s="115" t="n">
        <x:f>COUNTIF('候选名单'!$D$5:$D$104,D8)</x:f>
        <x:v>8</x:v>
      </x:c>
      <x:c r="F8" s="116" t="n">
        <x:f>E8/$B$5</x:f>
        <x:v>0.08</x:v>
      </x:c>
    </x:row>
    <x:row r="9">
      <x:c r="D9" s="107" t="str">
        <x:v>Netherlands</x:v>
      </x:c>
      <x:c r="E9" s="115" t="n">
        <x:f>COUNTIF('候选名单'!$D$5:$D$104,D9)</x:f>
        <x:v>8</x:v>
      </x:c>
      <x:c r="F9" s="116" t="n">
        <x:f>E9/$B$5</x:f>
        <x:v>0.08</x:v>
      </x:c>
    </x:row>
    <x:row r="10">
      <x:c r="D10" s="107" t="str">
        <x:v>United Kingdom</x:v>
      </x:c>
      <x:c r="E10" s="115" t="n">
        <x:f>COUNTIF('候选名单'!$D$5:$D$104,D10)</x:f>
        <x:v>7</x:v>
      </x:c>
      <x:c r="F10" s="116" t="n">
        <x:f>E10/$B$5</x:f>
        <x:v>0.07</x:v>
      </x:c>
    </x:row>
    <x:row r="11">
      <x:c r="D11" s="107" t="str">
        <x:v>Switzerland</x:v>
      </x:c>
      <x:c r="E11" s="115" t="n">
        <x:f>COUNTIF('候选名单'!$D$5:$D$104,D11)</x:f>
        <x:v>6</x:v>
      </x:c>
      <x:c r="F11" s="116" t="n">
        <x:f>E11/$B$5</x:f>
        <x:v>0.06</x:v>
      </x:c>
    </x:row>
    <x:row r="12">
      <x:c r="D12" s="107" t="str">
        <x:v>Belgium</x:v>
      </x:c>
      <x:c r="E12" s="115" t="n">
        <x:f>COUNTIF('候选名单'!$D$5:$D$104,D12)</x:f>
        <x:v>5</x:v>
      </x:c>
      <x:c r="F12" s="116" t="n">
        <x:f>E12/$B$5</x:f>
        <x:v>0.05</x:v>
      </x:c>
    </x:row>
    <x:row r="13">
      <x:c r="D13" s="107" t="str">
        <x:v>France</x:v>
      </x:c>
      <x:c r="E13" s="115" t="n">
        <x:f>COUNTIF('候选名单'!$D$5:$D$104,D13)</x:f>
        <x:v>5</x:v>
      </x:c>
      <x:c r="F13" s="116" t="n">
        <x:f>E13/$B$5</x:f>
        <x:v>0.05</x:v>
      </x:c>
    </x:row>
    <x:row r="14">
      <x:c r="D14" s="107" t="str">
        <x:v>Austria</x:v>
      </x:c>
      <x:c r="E14" s="115" t="n">
        <x:f>COUNTIF('候选名单'!$D$5:$D$104,D14)</x:f>
        <x:v>4</x:v>
      </x:c>
      <x:c r="F14" s="116" t="n">
        <x:f>E14/$B$5</x:f>
        <x:v>0.04</x:v>
      </x:c>
    </x:row>
    <x:row r="15">
      <x:c r="D15" s="107" t="str">
        <x:v>Portugal</x:v>
      </x:c>
      <x:c r="E15" s="115" t="n">
        <x:f>COUNTIF('候选名单'!$D$5:$D$104,D15)</x:f>
        <x:v>3</x:v>
      </x:c>
      <x:c r="F15" s="116" t="n">
        <x:f>E15/$B$5</x:f>
        <x:v>0.03</x:v>
      </x:c>
    </x:row>
    <x:row r="16">
      <x:c r="D16" s="107" t="str">
        <x:v>Finland</x:v>
      </x:c>
      <x:c r="E16" s="115" t="n">
        <x:f>COUNTIF('候选名单'!$D$5:$D$104,D16)</x:f>
        <x:v>3</x:v>
      </x:c>
      <x:c r="F16" s="116" t="n">
        <x:f>E16/$B$5</x:f>
        <x:v>0.03</x:v>
      </x:c>
    </x:row>
    <x:row r="17">
      <x:c r="D17" s="107" t="str">
        <x:v>Ireland</x:v>
      </x:c>
      <x:c r="E17" s="115" t="n">
        <x:f>COUNTIF('候选名单'!$D$5:$D$104,D17)</x:f>
        <x:v>3</x:v>
      </x:c>
      <x:c r="F17" s="116" t="n">
        <x:f>E17/$B$5</x:f>
        <x:v>0.03</x:v>
      </x:c>
    </x:row>
    <x:row r="18">
      <x:c r="D18" s="107" t="str">
        <x:v>Denmark</x:v>
      </x:c>
      <x:c r="E18" s="115" t="n">
        <x:f>COUNTIF('候选名单'!$D$5:$D$104,D18)</x:f>
        <x:v>3</x:v>
      </x:c>
      <x:c r="F18" s="116" t="n">
        <x:f>E18/$B$5</x:f>
        <x:v>0.03</x:v>
      </x:c>
    </x:row>
    <x:row r="19">
      <x:c r="D19" s="110" t="str">
        <x:v>Norway</x:v>
      </x:c>
      <x:c r="E19" s="117" t="n">
        <x:f>COUNTIF('候选名单'!$D$5:$D$104,D19)</x:f>
        <x:v>2</x:v>
      </x:c>
      <x:c r="F19" s="118" t="n">
        <x:f>E19/$B$5</x:f>
        <x:v>0.02</x:v>
      </x:c>
    </x:row>
  </x:sheetData>
  <x:mergeCells>
    <x:mergeCell ref="A1:F1"/>
    <x:mergeCell ref="A2:F2"/>
  </x:mergeCells>
  <x:conditionalFormatting sqref="E5:E19">
    <x:cfRule type="dataBar" priority="1">
      <x:dataBar>
        <x:cfvo type="min"/>
        <x:cfvo type="max"/>
        <x:color rgb="FF2563EB"/>
      </x:dataBar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32" customHeight="1">
      <x:c r="A1" s="3" t="str">
        <x:v>说明、纳入标准与使用建议</x:v>
      </x:c>
    </x:row>
    <x:row r="2" ht="30" customHeight="1">
      <x:c r="A2" s="7" t="str">
        <x:v>这是一份博士后求职候选库，不代表实验室当前一定有开放职位；联系前应复核官网、近期论文与招聘页面。</x:v>
      </x:c>
    </x:row>
    <x:row r="4" ht="34" customHeight="1">
      <x:c r="A4" s="13" t="str">
        <x:v>项目</x:v>
      </x:c>
      <x:c r="B4" s="13" t="str">
        <x:v>说明</x:v>
      </x:c>
    </x:row>
    <x:row r="5" ht="42" customHeight="1">
      <x:c r="A5" s="141" t="str">
        <x:v>地域范围</x:v>
      </x:c>
      <x:c r="B5" s="133" t="str">
        <x:v>纳入英国、爱尔兰、法国、德国、荷兰、比利时、瑞士、奥地利、意大利、西班牙、葡萄牙、丹麦、瑞典、挪威、芬兰和冰岛；排除东欧。</x:v>
      </x:c>
    </x:row>
    <x:row r="6" ht="42" customHeight="1">
      <x:c r="A6" s="142" t="str">
        <x:v>学术范围</x:v>
      </x:c>
      <x:c r="B6" s="135" t="str">
        <x:v>RNA生物学、RNA治疗、RNA生物标志物、转录组、剪接/加工、RNA修饰、非编码RNA、RNA病毒及直接以RNA为核心的单细胞/空间研究。</x:v>
      </x:c>
    </x:row>
    <x:row r="7" ht="42" customHeight="1">
      <x:c r="A7" s="142" t="str">
        <x:v>影响力阈值</x:v>
      </x:c>
      <x:c r="B7" s="135" t="str">
        <x:v>每位入选PI至少有一篇直接相关代表作，所列期刊的公开近期JIF&gt;5。JIF每年变化，表内同时记录数值、年份和来源。</x:v>
      </x:c>
    </x:row>
    <x:row r="8" ht="42" customHeight="1">
      <x:c r="A8" s="142" t="str">
        <x:v>临床偏好</x:v>
      </x:c>
      <x:c r="B8" s="135" t="str">
        <x:v>优先患者样本/队列、诊断与液体活检、寡核苷酸或RNA药物、递送、基因治疗和明确疾病机制。基础机制实验室仍可入选，但排序较低。</x:v>
      </x:c>
    </x:row>
    <x:row r="9" ht="42" customHeight="1">
      <x:c r="A9" s="142" t="str">
        <x:v>评分公式</x:v>
      </x:c>
      <x:c r="B9" s="135" t="str">
        <x:v>综合匹配分 = RNA匹配分×7 + 临床匹配分×7 + 联系可信分×10 + 证据质量分×5；德国优先分在此基础上加10分并封顶100。邮箱可信度权重提高，避免疑似合作者邮箱进入首轮联系前列。</x:v>
      </x:c>
    </x:row>
    <x:row r="10" ht="42" customHeight="1">
      <x:c r="A10" s="142" t="str">
        <x:v>邮箱可信度</x:v>
      </x:c>
      <x:c r="B10" s="135" t="str">
        <x:v>较高：近期论文中通讯邮箱且邮箱本地部分与PI姓氏匹配；中等：较早通讯邮箱；低：邮箱与PI姓名不匹配，可能属于合作者。所有邮箱发送前均需在机构官网复核。</x:v>
      </x:c>
    </x:row>
    <x:row r="11" ht="42" customHeight="1">
      <x:c r="A11" s="142" t="str">
        <x:v>来源</x:v>
      </x:c>
      <x:c r="B11" s="135" t="str">
        <x:v>身份/论文元数据主要来自OpenAlex与Europe PMC；论文用DOI链接；JIF使用期刊或出版方页面；邮箱来源列链接到公开论文记录。</x:v>
      </x:c>
    </x:row>
    <x:row r="12" ht="42" customHeight="1">
      <x:c r="A12" s="142" t="str">
        <x:v>德国优先策略</x:v>
      </x:c>
      <x:c r="B12" s="135" t="str">
        <x:v>先查看“德国优先”工作表，按疾病方向筛选5–10位；逐一阅读近两年论文与实验室招聘页，再发送定制邮件。不要群发同一模板。</x:v>
      </x:c>
    </x:row>
    <x:row r="13" ht="42" customHeight="1">
      <x:c r="A13" s="142" t="str">
        <x:v>建议邮件材料</x:v>
      </x:c>
      <x:c r="B13" s="135" t="str">
        <x:v>英文邮件正文约150–220词；附1页学术CV、1段与你现有技能的匹配说明、1–2个具体研究切入点，并询问博士后经费与起始时间。</x:v>
      </x:c>
    </x:row>
    <x:row r="14" ht="42" customHeight="1">
      <x:c r="A14" s="142" t="str">
        <x:v>检索日期</x:v>
      </x:c>
      <x:c r="B14" s="135" t="str">
        <x:v>2026-07-22（Europe/Berlin）</x:v>
      </x:c>
    </x:row>
    <x:row r="15" ht="42" customHeight="1">
      <x:c r="A15" s="143" t="str">
        <x:v>重要限制</x:v>
      </x:c>
      <x:c r="B15" s="137" t="str">
        <x:v>JIF只作为用户指定的最低筛选门槛，不应替代对导师风格、经费、论文作者结构、实验室文化和职业去向的判断。</x:v>
      </x:c>
    </x:row>
  </x:sheetData>
  <x:mergeCells>
    <x:mergeCell ref="A1:B1"/>
    <x:mergeCell ref="A2:B2"/>
  </x:mergeCells>
  <x:pageMargins left="0.7" right="0.7" top="0.75" bottom="0.75" header="0.3" footer="0.3"/>
</x:worksheet>
</file>