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xiaoqingpan/Desktop/Cover_letter/"/>
    </mc:Choice>
  </mc:AlternateContent>
  <xr:revisionPtr revIDLastSave="0" documentId="13_ncr:1_{BEF61A6C-CFE5-6C40-8864-94264A6D439B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德国候选" sheetId="1" r:id="rId1"/>
    <sheet name="临床优先" sheetId="2" r:id="rId2"/>
    <sheet name="青年新组" sheetId="3" r:id="rId3"/>
    <sheet name="城市方向统计" sheetId="4" r:id="rId4"/>
    <sheet name="说明与方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B10" i="4"/>
  <c r="I9" i="4"/>
  <c r="E9" i="4"/>
  <c r="B9" i="4"/>
  <c r="I8" i="4"/>
  <c r="E8" i="4"/>
  <c r="B8" i="4"/>
  <c r="I7" i="4"/>
  <c r="E7" i="4"/>
  <c r="B7" i="4"/>
  <c r="I6" i="4"/>
  <c r="E6" i="4"/>
  <c r="B6" i="4"/>
  <c r="I5" i="4"/>
  <c r="E5" i="4"/>
  <c r="B5" i="4"/>
  <c r="T108" i="1"/>
  <c r="B108" i="1" s="1"/>
  <c r="S108" i="1"/>
  <c r="S107" i="1"/>
  <c r="T107" i="1" s="1"/>
  <c r="B107" i="1" s="1"/>
  <c r="T106" i="1"/>
  <c r="B106" i="1" s="1"/>
  <c r="S106" i="1"/>
  <c r="S105" i="1"/>
  <c r="T105" i="1" s="1"/>
  <c r="B105" i="1" s="1"/>
  <c r="T104" i="1"/>
  <c r="S104" i="1"/>
  <c r="B104" i="1"/>
  <c r="S103" i="1"/>
  <c r="T103" i="1" s="1"/>
  <c r="B103" i="1" s="1"/>
  <c r="S102" i="1"/>
  <c r="T102" i="1" s="1"/>
  <c r="B102" i="1" s="1"/>
  <c r="S101" i="1"/>
  <c r="T101" i="1" s="1"/>
  <c r="B101" i="1" s="1"/>
  <c r="T100" i="1"/>
  <c r="B100" i="1" s="1"/>
  <c r="S100" i="1"/>
  <c r="S99" i="1"/>
  <c r="T99" i="1" s="1"/>
  <c r="B99" i="1" s="1"/>
  <c r="T98" i="1"/>
  <c r="B98" i="1" s="1"/>
  <c r="S98" i="1"/>
  <c r="S97" i="1"/>
  <c r="T97" i="1" s="1"/>
  <c r="B97" i="1" s="1"/>
  <c r="T96" i="1"/>
  <c r="S96" i="1"/>
  <c r="B96" i="1"/>
  <c r="S95" i="1"/>
  <c r="T95" i="1" s="1"/>
  <c r="B95" i="1" s="1"/>
  <c r="S94" i="1"/>
  <c r="T94" i="1" s="1"/>
  <c r="B94" i="1" s="1"/>
  <c r="S93" i="1"/>
  <c r="T93" i="1" s="1"/>
  <c r="B93" i="1" s="1"/>
  <c r="T92" i="1"/>
  <c r="B92" i="1" s="1"/>
  <c r="S92" i="1"/>
  <c r="S91" i="1"/>
  <c r="T91" i="1" s="1"/>
  <c r="B91" i="1" s="1"/>
  <c r="T90" i="1"/>
  <c r="B90" i="1" s="1"/>
  <c r="S90" i="1"/>
  <c r="S89" i="1"/>
  <c r="T89" i="1" s="1"/>
  <c r="B89" i="1" s="1"/>
  <c r="T88" i="1"/>
  <c r="S88" i="1"/>
  <c r="B88" i="1"/>
  <c r="S87" i="1"/>
  <c r="T87" i="1" s="1"/>
  <c r="B87" i="1" s="1"/>
  <c r="S86" i="1"/>
  <c r="T86" i="1" s="1"/>
  <c r="B86" i="1" s="1"/>
  <c r="S85" i="1"/>
  <c r="T85" i="1" s="1"/>
  <c r="B85" i="1" s="1"/>
  <c r="T84" i="1"/>
  <c r="B84" i="1" s="1"/>
  <c r="S84" i="1"/>
  <c r="S83" i="1"/>
  <c r="T83" i="1" s="1"/>
  <c r="B83" i="1" s="1"/>
  <c r="T82" i="1"/>
  <c r="B82" i="1" s="1"/>
  <c r="S82" i="1"/>
  <c r="S81" i="1"/>
  <c r="T81" i="1" s="1"/>
  <c r="B81" i="1" s="1"/>
  <c r="T80" i="1"/>
  <c r="S80" i="1"/>
  <c r="B80" i="1"/>
  <c r="S79" i="1"/>
  <c r="T79" i="1" s="1"/>
  <c r="B79" i="1" s="1"/>
  <c r="S78" i="1"/>
  <c r="T78" i="1" s="1"/>
  <c r="B78" i="1" s="1"/>
  <c r="S77" i="1"/>
  <c r="T77" i="1" s="1"/>
  <c r="B77" i="1" s="1"/>
  <c r="T76" i="1"/>
  <c r="B76" i="1" s="1"/>
  <c r="S76" i="1"/>
  <c r="S75" i="1"/>
  <c r="T75" i="1" s="1"/>
  <c r="B75" i="1" s="1"/>
  <c r="T74" i="1"/>
  <c r="B74" i="1" s="1"/>
  <c r="S74" i="1"/>
  <c r="S73" i="1"/>
  <c r="T73" i="1" s="1"/>
  <c r="B73" i="1" s="1"/>
  <c r="T72" i="1"/>
  <c r="S72" i="1"/>
  <c r="B72" i="1"/>
  <c r="S71" i="1"/>
  <c r="T71" i="1" s="1"/>
  <c r="B71" i="1" s="1"/>
  <c r="S70" i="1"/>
  <c r="T70" i="1" s="1"/>
  <c r="B70" i="1" s="1"/>
  <c r="S69" i="1"/>
  <c r="T69" i="1" s="1"/>
  <c r="B69" i="1" s="1"/>
  <c r="T68" i="1"/>
  <c r="B68" i="1" s="1"/>
  <c r="S68" i="1"/>
  <c r="S67" i="1"/>
  <c r="T67" i="1" s="1"/>
  <c r="B67" i="1" s="1"/>
  <c r="T66" i="1"/>
  <c r="B66" i="1" s="1"/>
  <c r="S66" i="1"/>
  <c r="S65" i="1"/>
  <c r="T65" i="1" s="1"/>
  <c r="B65" i="1" s="1"/>
  <c r="T64" i="1"/>
  <c r="S64" i="1"/>
  <c r="B64" i="1"/>
  <c r="S63" i="1"/>
  <c r="T63" i="1" s="1"/>
  <c r="B63" i="1" s="1"/>
  <c r="S62" i="1"/>
  <c r="T62" i="1" s="1"/>
  <c r="B62" i="1" s="1"/>
  <c r="S61" i="1"/>
  <c r="T61" i="1" s="1"/>
  <c r="B61" i="1" s="1"/>
  <c r="T60" i="1"/>
  <c r="B60" i="1" s="1"/>
  <c r="S60" i="1"/>
  <c r="S59" i="1"/>
  <c r="T59" i="1" s="1"/>
  <c r="B59" i="1" s="1"/>
  <c r="T58" i="1"/>
  <c r="B58" i="1" s="1"/>
  <c r="S58" i="1"/>
  <c r="S57" i="1"/>
  <c r="T57" i="1" s="1"/>
  <c r="B57" i="1" s="1"/>
  <c r="T56" i="1"/>
  <c r="S56" i="1"/>
  <c r="B56" i="1"/>
  <c r="S55" i="1"/>
  <c r="T55" i="1" s="1"/>
  <c r="B55" i="1" s="1"/>
  <c r="S54" i="1"/>
  <c r="T54" i="1" s="1"/>
  <c r="B54" i="1" s="1"/>
  <c r="S53" i="1"/>
  <c r="T53" i="1" s="1"/>
  <c r="B53" i="1" s="1"/>
  <c r="T52" i="1"/>
  <c r="B52" i="1" s="1"/>
  <c r="S52" i="1"/>
  <c r="S51" i="1"/>
  <c r="T51" i="1" s="1"/>
  <c r="B51" i="1" s="1"/>
  <c r="T50" i="1"/>
  <c r="B50" i="1" s="1"/>
  <c r="S50" i="1"/>
  <c r="S49" i="1"/>
  <c r="T49" i="1" s="1"/>
  <c r="B49" i="1" s="1"/>
  <c r="T48" i="1"/>
  <c r="S48" i="1"/>
  <c r="B48" i="1"/>
  <c r="S47" i="1"/>
  <c r="T47" i="1" s="1"/>
  <c r="B47" i="1" s="1"/>
  <c r="S46" i="1"/>
  <c r="T46" i="1" s="1"/>
  <c r="B46" i="1" s="1"/>
  <c r="S45" i="1"/>
  <c r="T45" i="1" s="1"/>
  <c r="B45" i="1" s="1"/>
  <c r="T44" i="1"/>
  <c r="B44" i="1" s="1"/>
  <c r="S44" i="1"/>
  <c r="S43" i="1"/>
  <c r="T43" i="1" s="1"/>
  <c r="B43" i="1" s="1"/>
  <c r="T42" i="1"/>
  <c r="B42" i="1" s="1"/>
  <c r="S42" i="1"/>
  <c r="S41" i="1"/>
  <c r="T41" i="1" s="1"/>
  <c r="B41" i="1" s="1"/>
  <c r="T40" i="1"/>
  <c r="S40" i="1"/>
  <c r="B40" i="1"/>
  <c r="S39" i="1"/>
  <c r="T39" i="1" s="1"/>
  <c r="B39" i="1" s="1"/>
  <c r="S38" i="1"/>
  <c r="T38" i="1" s="1"/>
  <c r="B38" i="1" s="1"/>
  <c r="S37" i="1"/>
  <c r="T37" i="1" s="1"/>
  <c r="B37" i="1" s="1"/>
  <c r="T36" i="1"/>
  <c r="B36" i="1" s="1"/>
  <c r="S36" i="1"/>
  <c r="S35" i="1"/>
  <c r="T35" i="1" s="1"/>
  <c r="B35" i="1" s="1"/>
  <c r="T34" i="1"/>
  <c r="B34" i="1" s="1"/>
  <c r="S34" i="1"/>
  <c r="S33" i="1"/>
  <c r="T33" i="1" s="1"/>
  <c r="B33" i="1" s="1"/>
  <c r="T32" i="1"/>
  <c r="S32" i="1"/>
  <c r="B32" i="1"/>
  <c r="S31" i="1"/>
  <c r="T31" i="1" s="1"/>
  <c r="B31" i="1" s="1"/>
  <c r="S30" i="1"/>
  <c r="T30" i="1" s="1"/>
  <c r="B30" i="1" s="1"/>
  <c r="S29" i="1"/>
  <c r="T29" i="1" s="1"/>
  <c r="B29" i="1" s="1"/>
  <c r="T28" i="1"/>
  <c r="B28" i="1" s="1"/>
  <c r="S28" i="1"/>
  <c r="S27" i="1"/>
  <c r="T27" i="1" s="1"/>
  <c r="B27" i="1" s="1"/>
  <c r="T26" i="1"/>
  <c r="B26" i="1" s="1"/>
  <c r="S26" i="1"/>
  <c r="S25" i="1"/>
  <c r="T25" i="1" s="1"/>
  <c r="B25" i="1" s="1"/>
  <c r="T24" i="1"/>
  <c r="S24" i="1"/>
  <c r="B24" i="1"/>
  <c r="S23" i="1"/>
  <c r="T23" i="1" s="1"/>
  <c r="B23" i="1" s="1"/>
  <c r="S22" i="1"/>
  <c r="T22" i="1" s="1"/>
  <c r="B22" i="1" s="1"/>
  <c r="S21" i="1"/>
  <c r="T21" i="1" s="1"/>
  <c r="B21" i="1" s="1"/>
  <c r="T20" i="1"/>
  <c r="B20" i="1" s="1"/>
  <c r="S20" i="1"/>
  <c r="S19" i="1"/>
  <c r="T19" i="1" s="1"/>
  <c r="B19" i="1" s="1"/>
  <c r="T18" i="1"/>
  <c r="B18" i="1" s="1"/>
  <c r="S18" i="1"/>
  <c r="S17" i="1"/>
  <c r="T17" i="1" s="1"/>
  <c r="B17" i="1" s="1"/>
  <c r="T16" i="1"/>
  <c r="S16" i="1"/>
  <c r="B16" i="1"/>
  <c r="S15" i="1"/>
  <c r="T15" i="1" s="1"/>
  <c r="B15" i="1" s="1"/>
  <c r="S14" i="1"/>
  <c r="T14" i="1" s="1"/>
  <c r="B14" i="1" s="1"/>
  <c r="S13" i="1"/>
  <c r="T13" i="1" s="1"/>
  <c r="B13" i="1" s="1"/>
  <c r="T12" i="1"/>
  <c r="B12" i="1" s="1"/>
  <c r="S12" i="1"/>
  <c r="S11" i="1"/>
  <c r="T11" i="1" s="1"/>
  <c r="B11" i="1" s="1"/>
  <c r="T10" i="1"/>
  <c r="B10" i="1" s="1"/>
  <c r="S10" i="1"/>
  <c r="S9" i="1"/>
  <c r="T9" i="1" s="1"/>
  <c r="B9" i="1" s="1"/>
  <c r="T8" i="1"/>
  <c r="S8" i="1"/>
  <c r="B8" i="1"/>
  <c r="S7" i="1"/>
  <c r="T7" i="1" s="1"/>
  <c r="B7" i="1" s="1"/>
  <c r="S6" i="1"/>
  <c r="T6" i="1" s="1"/>
  <c r="B6" i="1" s="1"/>
  <c r="S5" i="1"/>
  <c r="T5" i="1" s="1"/>
  <c r="B5" i="1" s="1"/>
  <c r="F25" i="4" l="1"/>
  <c r="F10" i="4"/>
  <c r="F18" i="4"/>
  <c r="F26" i="4"/>
  <c r="F27" i="4"/>
  <c r="F28" i="4"/>
  <c r="F29" i="4"/>
  <c r="F30" i="4"/>
  <c r="F17" i="4"/>
  <c r="F5" i="4"/>
  <c r="F19" i="4"/>
  <c r="F8" i="4"/>
  <c r="F12" i="4"/>
  <c r="F20" i="4"/>
  <c r="F13" i="4"/>
  <c r="F21" i="4"/>
  <c r="F6" i="4"/>
  <c r="F14" i="4"/>
  <c r="F22" i="4"/>
  <c r="F9" i="4"/>
  <c r="F15" i="4"/>
  <c r="F23" i="4"/>
  <c r="F31" i="4"/>
  <c r="F7" i="4"/>
  <c r="F11" i="4"/>
  <c r="F16" i="4"/>
  <c r="F24" i="4"/>
  <c r="F32" i="4"/>
</calcChain>
</file>

<file path=xl/sharedStrings.xml><?xml version="1.0" encoding="utf-8"?>
<sst xmlns="http://schemas.openxmlformats.org/spreadsheetml/2006/main" count="2869" uniqueCount="1258">
  <si>
    <t>德国 RNA PI 扩展候选库（104 位）</t>
  </si>
  <si>
    <t>仅德国现任或有近期官方德国机构证据的独立PI/组长；RNA方向优先临床转化，同时覆盖感染、结构化学、计算单细胞与机制研究。检索日期：2026-07-22。</t>
  </si>
  <si>
    <t>排名</t>
  </si>
  <si>
    <t>优先级</t>
  </si>
  <si>
    <t>PI姓名</t>
  </si>
  <si>
    <t>城市</t>
  </si>
  <si>
    <t>机构</t>
  </si>
  <si>
    <t>当前职位/机构状态</t>
  </si>
  <si>
    <t>生涯阶段</t>
  </si>
  <si>
    <t>研究类型</t>
  </si>
  <si>
    <t>公开Email</t>
  </si>
  <si>
    <t>邮箱可信度</t>
  </si>
  <si>
    <t>邮箱来源年份</t>
  </si>
  <si>
    <t>RNA专注领域</t>
  </si>
  <si>
    <t>疾病/临床方向</t>
  </si>
  <si>
    <t>临床相关性</t>
  </si>
  <si>
    <t>RNA匹配分</t>
  </si>
  <si>
    <t>临床匹配分</t>
  </si>
  <si>
    <t>联系可信分</t>
  </si>
  <si>
    <t>证据质量分</t>
  </si>
  <si>
    <t>综合匹配分</t>
  </si>
  <si>
    <t>联系优先分</t>
  </si>
  <si>
    <t>代表性论文</t>
  </si>
  <si>
    <t>期刊</t>
  </si>
  <si>
    <t>发表年份</t>
  </si>
  <si>
    <t>JIF</t>
  </si>
  <si>
    <t>JIF年份</t>
  </si>
  <si>
    <t>论文/DOI</t>
  </si>
  <si>
    <t>JIF来源</t>
  </si>
  <si>
    <t>Email来源</t>
  </si>
  <si>
    <t>实验室/官方页面</t>
  </si>
  <si>
    <t>OpenAlex</t>
  </si>
  <si>
    <t>ORCID</t>
  </si>
  <si>
    <t>复核提示</t>
  </si>
  <si>
    <t>OpenAlex机构列表</t>
  </si>
  <si>
    <t>Antoine-Emmanuel Saliba</t>
  </si>
  <si>
    <t>Würzburg</t>
  </si>
  <si>
    <t>Helmholtz Institute for RNA-based Infection Research</t>
  </si>
  <si>
    <t>已核验（德国机构+官网来源）</t>
  </si>
  <si>
    <t>成熟/资深PI</t>
  </si>
  <si>
    <t>感染与RNA</t>
  </si>
  <si>
    <t>emmanuel.saliba@helmholtz-hiri.de</t>
  </si>
  <si>
    <t>高（机构官网/官方名册）</t>
  </si>
  <si>
    <t>Single-cell RNA analysis of host-pathogen interactions</t>
  </si>
  <si>
    <t>infectious disease and immune response</t>
  </si>
  <si>
    <t>高</t>
  </si>
  <si>
    <t>Respiratory syncytial viral load drives ciliated cell dedifferentiation and suppresses antiviral immunity</t>
  </si>
  <si>
    <t>Science Advances</t>
  </si>
  <si>
    <t>https://doi.org/10.1126/sciadv.aed4499</t>
  </si>
  <si>
    <t>https://www.science.org/journal/sciadv/about</t>
  </si>
  <si>
    <t>https://www.helmholtz-hiri.de/fileadmin/HIRI/Research/RNA_Ecosystem/RNA_Faculty_Booklet_WS_2025_26_low.pdf</t>
  </si>
  <si>
    <t>https://openalex.org/A5083429758</t>
  </si>
  <si>
    <t>https://orcid.org/0000-0001-8539-2784</t>
  </si>
  <si>
    <t>发送前仍建议复核实验室官网</t>
  </si>
  <si>
    <t>University of Würzburg | Centre National des Sciences et Technologies Nucléaires | Helmholtz Centre for Infection Research | Helmholtz Institute for RNA-based Infection Research</t>
  </si>
  <si>
    <t>Carmen Aguilar</t>
  </si>
  <si>
    <t>University of Wurzburg</t>
  </si>
  <si>
    <t>青年/新组机会</t>
  </si>
  <si>
    <t>carmen.aguilar@uni-wuerzburg.de</t>
  </si>
  <si>
    <t>Host miRNA and single-cell RNA-seq in infection</t>
  </si>
  <si>
    <t>urinary tract and bacterial infection</t>
  </si>
  <si>
    <t>Reprogramming of microRNA expression via E2F1 downregulation promotes Salmonella infection both in infected and bystander cells</t>
  </si>
  <si>
    <t>Nature Communications</t>
  </si>
  <si>
    <t>https://doi.org/10.1038/s41467-021-23593-z</t>
  </si>
  <si>
    <t>https://www.nature.com/ncomms/ncomms/journal-impact</t>
  </si>
  <si>
    <t>https://openalex.org/A5018127362</t>
  </si>
  <si>
    <t>https://orcid.org/0000-0002-8437-9585</t>
  </si>
  <si>
    <t>University of Würzburg</t>
  </si>
  <si>
    <t>Dimitrios Papadopoulos</t>
  </si>
  <si>
    <t>RNA机制实验</t>
  </si>
  <si>
    <t>dimitrios.papadopoulos@uni-wuerzburg.de</t>
  </si>
  <si>
    <t>Transcription and RNA-associated cancer dependencies</t>
  </si>
  <si>
    <t>cancer</t>
  </si>
  <si>
    <t>The MYCN oncoprotein is an RNA-binding accessory factor of the nuclear exosome targeting complex</t>
  </si>
  <si>
    <t>Molecular Cell</t>
  </si>
  <si>
    <t>https://doi.org/10.1016/j.molcel.2024.04.007</t>
  </si>
  <si>
    <t>https://www.cell.com/molecular-cell/home</t>
  </si>
  <si>
    <t>https://openalex.org/A5090958693</t>
  </si>
  <si>
    <t>https://orcid.org/0000-0002-3415-7407</t>
  </si>
  <si>
    <t>University of Würzburg | Universitätsklinikum Würzburg | St. George Hospital</t>
  </si>
  <si>
    <t>Dominic Gruen</t>
  </si>
  <si>
    <t>计算/单细胞</t>
  </si>
  <si>
    <t>dominic.gruen@uni-wuerzburg.de</t>
  </si>
  <si>
    <t>Single-cell and spatial transcriptomics</t>
  </si>
  <si>
    <t>immune differentiation, disease and tissue damage</t>
  </si>
  <si>
    <t>PS-032-Impact of antigen recognition on memory-like HCV-specific CD8+ T-cells</t>
  </si>
  <si>
    <t>Journal of Hepatology</t>
  </si>
  <si>
    <t>https://doi.org/10.1016/s0618-8278(19)30038-6</t>
  </si>
  <si>
    <t>https://www.journal-of-hepatology.eu/</t>
  </si>
  <si>
    <t>https://openalex.org/A5029274483</t>
  </si>
  <si>
    <t>发送前仍建议复核实验室官网；代表作标题未直接出现RNA关键词，研究方向仍属RNA范围</t>
  </si>
  <si>
    <t>Max Planck Institute of Immunobiology and Epigenetics</t>
  </si>
  <si>
    <t>Franziska Faber</t>
  </si>
  <si>
    <t>University of Wurzburg / HIRI</t>
  </si>
  <si>
    <t>franziska.faber@uni-wuerzburg.de</t>
  </si>
  <si>
    <t>Bacterial RNA regulation and virulence</t>
  </si>
  <si>
    <t>Clostridioides difficile infection and microbiota</t>
  </si>
  <si>
    <t>The global RNA-binding protein RbpB is a regulator of polysaccharide utilization in Bacteroides thetaiotaomicron</t>
  </si>
  <si>
    <t>https://doi.org/10.1038/s41467-024-55383-8</t>
  </si>
  <si>
    <t>https://openalex.org/A5072398400</t>
  </si>
  <si>
    <t>https://orcid.org/0000-0002-8700-6522</t>
  </si>
  <si>
    <t>University of Würzburg | Centre National des Sciences et Technologies Nucléaires | Helmholtz Centre for Infection Research | Helmholtz Institute for RNA-based Infection Research | Institute of Medical Microbiology and Hygiene</t>
  </si>
  <si>
    <t>Jonathan Bohlen</t>
  </si>
  <si>
    <t>Munich</t>
  </si>
  <si>
    <t>LMU Gene Center</t>
  </si>
  <si>
    <t>j.bohlen@lmu.de</t>
  </si>
  <si>
    <t>mRNA translation and tRNA biology in human immunity</t>
  </si>
  <si>
    <t>immunodeficiency and autoinflammatory disease</t>
  </si>
  <si>
    <t>Autoantibodies against type I IFNs in humans with alternative NF-κB pathway deficiency</t>
  </si>
  <si>
    <t>Nature</t>
  </si>
  <si>
    <t>https://doi.org/10.1038/s41586-023-06717-x</t>
  </si>
  <si>
    <t>https://www.nature.com/nature/journal-impact</t>
  </si>
  <si>
    <t>https://www.genzentrum.uni-muenchen.de/research-groups/bohlen/index.html</t>
  </si>
  <si>
    <t>https://openalex.org/A5074184874</t>
  </si>
  <si>
    <t>https://orcid.org/0000-0003-0458-9484</t>
  </si>
  <si>
    <t>Inserm | Université Paris Cité | LMU Klinikum | German Center for Pediatric and Adolescent Rheumatology | German Centre for Cardiovascular Research | Pediatrics and Genetics | Deutsches Herzzentrum München | Human Genetic of Infectious Diseases | Institut des Maladies Génétiques Imagine | Ludwig-Maximilians-Universität München</t>
  </si>
  <si>
    <t>Julian Stingele</t>
  </si>
  <si>
    <t>julian.stingele@lmu.de</t>
  </si>
  <si>
    <t>RNA damage and RNA-protein crosslink repair</t>
  </si>
  <si>
    <t>cancer and ageing</t>
  </si>
  <si>
    <t>Cellular responses to RNA damage</t>
  </si>
  <si>
    <t>Cell</t>
  </si>
  <si>
    <t>https://doi.org/10.1016/j.cell.2025.01.005</t>
  </si>
  <si>
    <t>https://www.cell.com/cell/home</t>
  </si>
  <si>
    <t>https://www.genzentrum.uni-muenchen.de/research-groups/stingele/index.html</t>
  </si>
  <si>
    <t>https://openalex.org/A5019471057</t>
  </si>
  <si>
    <t>https://orcid.org/0000-0001-6020-2075</t>
  </si>
  <si>
    <t>Centre National des Sciences et Technologies Nucléaires | Ludwig-Maximilians-Universität München</t>
  </si>
  <si>
    <t>Kathi Zarnack</t>
  </si>
  <si>
    <t>kathi.zarnack@uni-wuerzburg.de</t>
  </si>
  <si>
    <t>Bioinformatics of RNA regulation, splicing and RNA decay</t>
  </si>
  <si>
    <t>cancer and human disease</t>
  </si>
  <si>
    <t>An atlas of RNA-dependent proteins in cell division reveals the riboregulation of mitotic protein-protein interactions</t>
  </si>
  <si>
    <t>https://doi.org/10.1038/s41467-025-57671-3</t>
  </si>
  <si>
    <t>https://openalex.org/A5035728142</t>
  </si>
  <si>
    <t>https://orcid.org/0000-0003-3527-3378</t>
  </si>
  <si>
    <t>University of Würzburg | Institute of Molecular Biology</t>
  </si>
  <si>
    <t>Lorenz Meinel</t>
  </si>
  <si>
    <t>临床转化/治疗</t>
  </si>
  <si>
    <t>lorenz.meinel@uni-wuerzburg.de</t>
  </si>
  <si>
    <t>RNA delivery, biomaterials and pharmaceutics</t>
  </si>
  <si>
    <t>RNA therapeutics and drug delivery</t>
  </si>
  <si>
    <t>Diagnosing peri-implant disease using the tongue as a 24/7 detector</t>
  </si>
  <si>
    <t>https://doi.org/10.1038/s41467-017-00340-x</t>
  </si>
  <si>
    <t>https://openalex.org/A5001051737</t>
  </si>
  <si>
    <t>https://orcid.org/0000-0002-7549-7627</t>
  </si>
  <si>
    <t>University of Würzburg | Helmholtz Institute for RNA-based Infection Research</t>
  </si>
  <si>
    <t>Manja Marz</t>
  </si>
  <si>
    <t>Jena</t>
  </si>
  <si>
    <t>Friedrich Schiller University Jena</t>
  </si>
  <si>
    <t>manja@uni-jena.de</t>
  </si>
  <si>
    <t>RNA bioinformatics and virus transcriptomics</t>
  </si>
  <si>
    <t>viral infection and diagnostics</t>
  </si>
  <si>
    <t>VirJenDB: a FAIR (meta)data and bioinformatics platform for all viruses</t>
  </si>
  <si>
    <t>Nucleic Acids Research</t>
  </si>
  <si>
    <t>https://doi.org/10.1093/nar/gkaf1224</t>
  </si>
  <si>
    <t>https://academic.oup.com/nar/pages/about</t>
  </si>
  <si>
    <t>https://www.rna.uni-jena.de/team/</t>
  </si>
  <si>
    <t>https://openalex.org/A5041475009</t>
  </si>
  <si>
    <t>https://orcid.org/0000-0003-4783-8823</t>
  </si>
  <si>
    <t>Jena Bioscience (Germany) | Leibniz Institute on Aging - Fritz Lipmann Institute (FLI) | Bioinformatics Institute | Friedrich Schiller University Jena</t>
  </si>
  <si>
    <t>Marina Chekulaeva</t>
  </si>
  <si>
    <t>Berlin</t>
  </si>
  <si>
    <t>Max Delbruck Center</t>
  </si>
  <si>
    <t>marina.chekulaeva@mdc-berlin.de</t>
  </si>
  <si>
    <t>Local RNA metabolism, translation and neuronal RNA</t>
  </si>
  <si>
    <t>ALS and neurodegeneration</t>
  </si>
  <si>
    <t>Mechanistic insights into the basis of widespread RNA localization</t>
  </si>
  <si>
    <t>Nature Cell Biology</t>
  </si>
  <si>
    <t>https://doi.org/10.1038/s41556-024-01444-5</t>
  </si>
  <si>
    <t>https://www.nature.com/ncb/journal-impact</t>
  </si>
  <si>
    <t>https://www.mdc-berlin.de/de/chekulaeva</t>
  </si>
  <si>
    <t>https://openalex.org/A5070903529</t>
  </si>
  <si>
    <t>https://orcid.org/0000-0002-6868-7887</t>
  </si>
  <si>
    <t>Max Delbrück Center</t>
  </si>
  <si>
    <t>Roland Beckmann</t>
  </si>
  <si>
    <t>结构/化学生物学</t>
  </si>
  <si>
    <t>r.beckmann@lmu.de</t>
  </si>
  <si>
    <t>Ribosome structure, mRNA surveillance and translation quality control</t>
  </si>
  <si>
    <t>ribosomopathies and translation disorders</t>
  </si>
  <si>
    <t>Sni445 recruits box C/D snoRNPs snR4 and snR45 to guide ribosomal RNA acetylation by Kre33</t>
  </si>
  <si>
    <t>https://doi.org/10.1093/nar/gkag030</t>
  </si>
  <si>
    <t>https://www.genzentrum.uni-muenchen.de/research-groups/beckmann/index.html</t>
  </si>
  <si>
    <t>https://openalex.org/A5010441616</t>
  </si>
  <si>
    <t>https://orcid.org/0000-0003-4291-3898</t>
  </si>
  <si>
    <t>Gene Therapy Laboratory | Ludwig-Maximilians-Universität München</t>
  </si>
  <si>
    <t>Simone Backes</t>
  </si>
  <si>
    <t>simone.backes@uni-wuerzburg.de</t>
  </si>
  <si>
    <t>RNA mechanisms in viral replication and host defense</t>
  </si>
  <si>
    <t>viral infection</t>
  </si>
  <si>
    <t>Visualizing the transcription and replication of influenza A viral RNAs in cells by multiple direct RNA padlock probing and &lt;i&gt;in situ&lt;/i&gt; sequencing (mudRapp-seq)</t>
  </si>
  <si>
    <t>https://doi.org/10.1093/nar/gkaf461</t>
  </si>
  <si>
    <t>https://openalex.org/A5005739353</t>
  </si>
  <si>
    <t>Utz Fischer</t>
  </si>
  <si>
    <t>utz.fischer@biozentrum.uni-wuerzburg.de</t>
  </si>
  <si>
    <t>RNA-protein complexes, splicing and RNP assembly</t>
  </si>
  <si>
    <t>neuromuscular disease and viral infection</t>
  </si>
  <si>
    <t>Cooperative clamp-mediated promoter recognition by poxviral RNA polymerase and its TBP/TFIIB-like partner</t>
  </si>
  <si>
    <t>https://doi.org/10.1038/s41467-026-69571-1</t>
  </si>
  <si>
    <t>https://openalex.org/A5012562828</t>
  </si>
  <si>
    <t>https://orcid.org/0000-0002-1465-6591</t>
  </si>
  <si>
    <t>Matthew Kraushar</t>
  </si>
  <si>
    <t>Charite University Medicine Berlin</t>
  </si>
  <si>
    <t>matthew.kraushar@molgen.mpg.de</t>
  </si>
  <si>
    <t>中（近期论文通讯邮箱）</t>
  </si>
  <si>
    <t>Local translation and RNA regulation in neurons</t>
  </si>
  <si>
    <t>neurodevelopment and neurological disease</t>
  </si>
  <si>
    <t>Author Correction: A critical period of translational control during brain development at codon resolution</t>
  </si>
  <si>
    <t>Nature Structural &amp; Molecular Biology</t>
  </si>
  <si>
    <t>https://doi.org/10.1038/s41594-025-01675-6</t>
  </si>
  <si>
    <t>https://www.nature.com/nsmb/journal-impact</t>
  </si>
  <si>
    <t>https://europepmc.org/articles/PMC12440796</t>
  </si>
  <si>
    <t>https://www.rnasociety.org/salons/current-rna-salons/</t>
  </si>
  <si>
    <t>https://openalex.org/A5014690413</t>
  </si>
  <si>
    <t>https://orcid.org/0000-0002-7359-0318</t>
  </si>
  <si>
    <t>发送前需在机构官网复核</t>
  </si>
  <si>
    <t>Max Planck Institute for Molecular Genetics</t>
  </si>
  <si>
    <t>Petra Beli</t>
  </si>
  <si>
    <t>Mainz</t>
  </si>
  <si>
    <t>Institute of Molecular Biology Mainz</t>
  </si>
  <si>
    <t>p.beli@imb-mainz.de</t>
  </si>
  <si>
    <t>RNA damage responses and RNA-protein crosslinks</t>
  </si>
  <si>
    <t>The USP11/TCEAL1 complex promotes transcription elongation to sustain oncogenic gene expression in neuroblastoma</t>
  </si>
  <si>
    <t>Genes &amp; Development</t>
  </si>
  <si>
    <t>https://doi.org/10.1101/gad.352166.124</t>
  </si>
  <si>
    <t>https://genesdev.cshlp.org/site/misc/about.xhtml</t>
  </si>
  <si>
    <t>https://europepmc.org/articles/PMC9723622</t>
  </si>
  <si>
    <t>https://imb.de/students-postdocs/international-phd-programme/apply-to-ipp/projects-offered</t>
  </si>
  <si>
    <t>https://openalex.org/A5012146784</t>
  </si>
  <si>
    <t>https://orcid.org/0000-0001-9507-9820</t>
  </si>
  <si>
    <t>Johannes Gutenberg University Mainz | Institute of Molecular Biology</t>
  </si>
  <si>
    <t>Katharina Papsdorf</t>
  </si>
  <si>
    <t>官网支持，数据库机构滞后—需复核</t>
  </si>
  <si>
    <t>katharina.papsdorf@tum.de</t>
  </si>
  <si>
    <t>中低（较早论文通讯邮箱）</t>
  </si>
  <si>
    <t>RNA regulation and molecular mechanisms of ageing</t>
  </si>
  <si>
    <t>ageing and stress resilience</t>
  </si>
  <si>
    <t>The CRTC-1 transcriptional domain is required for COMPASS complex-mediated longevity in C. elegans</t>
  </si>
  <si>
    <t>Nature Aging</t>
  </si>
  <si>
    <t>https://doi.org/10.1038/s43587-023-00517-8</t>
  </si>
  <si>
    <t>https://www.nature.com/nataging/journal-impact</t>
  </si>
  <si>
    <t>https://europepmc.org/articles/PMC4558792</t>
  </si>
  <si>
    <t>https://www.imb.de/</t>
  </si>
  <si>
    <t>https://openalex.org/A5073229910</t>
  </si>
  <si>
    <t>https://orcid.org/0000-0001-9873-7585</t>
  </si>
  <si>
    <t>邮箱来源较早，必须复核；OpenAlex当前机构国家未直接匹配</t>
  </si>
  <si>
    <t>Stanford University</t>
  </si>
  <si>
    <t>Irene Beusch</t>
  </si>
  <si>
    <t>Irene.beusch@uni-wuerzburg.de</t>
  </si>
  <si>
    <t>Mechanisms and regulation of RNA splicing</t>
  </si>
  <si>
    <t>splicing dysregulation in human disease</t>
  </si>
  <si>
    <t>中</t>
  </si>
  <si>
    <t>A highly sensitive protein-RNA cross-linking mass spectrometry workflow with enhanced structural modeling potential</t>
  </si>
  <si>
    <t>https://doi.org/10.1093/nar/gkaf523</t>
  </si>
  <si>
    <t>https://openalex.org/A5035063516</t>
  </si>
  <si>
    <t>https://orcid.org/0000-0001-7758-4348</t>
  </si>
  <si>
    <t>发送前仍建议复核实验室官网；OpenAlex当前机构国家未直接匹配</t>
  </si>
  <si>
    <t>ETH Zurich</t>
  </si>
  <si>
    <t>Andre Fischer</t>
  </si>
  <si>
    <t>Göttingen</t>
  </si>
  <si>
    <t>German Center for Neurodegenerative Diseases / Goettingen</t>
  </si>
  <si>
    <t>andre.fischer@dzne.de</t>
  </si>
  <si>
    <t>Non-coding RNA, epigenetics and neurodegeneration</t>
  </si>
  <si>
    <t>Alzheimer's disease and cognitive decline</t>
  </si>
  <si>
    <t>The lincRNA &lt;i&gt;Pantr1&lt;/i&gt; is a FOXG1 target gene conferring site-specific chromatin binding of FOXG1</t>
  </si>
  <si>
    <t>https://doi.org/10.1093/nar/gkaf539</t>
  </si>
  <si>
    <t>https://europepmc.org/articles/PMC13205658</t>
  </si>
  <si>
    <t>https://www.dzne.de</t>
  </si>
  <si>
    <t>https://openalex.org/A5040773420</t>
  </si>
  <si>
    <t>https://orcid.org/0000-0001-8546-1161</t>
  </si>
  <si>
    <t>Institute of Molecular Biotechnology | Rolls-Royce (Germany) | Research Institute of Molecular Pathology | Firmenich (Switzerland) | German Primate Center | German Center for Neurodegenerative Diseases | Universitätsmedizin Göttingen | Nanoscale Microscopy and Molecular Physiology of the Brain Cluster of Excellence 171 — DFG Research Center 103 | Vienna Biocenter | University of Göttingen | Medical University of Vienna</t>
  </si>
  <si>
    <t>Andrea Rentmeister</t>
  </si>
  <si>
    <t>Münster</t>
  </si>
  <si>
    <t>University of Muenster</t>
  </si>
  <si>
    <t>a.rentmeister@lmu.de</t>
  </si>
  <si>
    <t>RNA chemical biology, labeling and mRNA engineering</t>
  </si>
  <si>
    <t>RNA therapeutics and diagnostics</t>
  </si>
  <si>
    <t>MePMe-seq: antibody-free simultaneous m6A and m5C mapping in mRNA by metabolic propargyl labeling and sequencing</t>
  </si>
  <si>
    <t>https://doi.org/10.1038/s41467-023-42832-z</t>
  </si>
  <si>
    <t>https://europepmc.org/articles/PMC12230757</t>
  </si>
  <si>
    <t>https://www.uni-muenster.de</t>
  </si>
  <si>
    <t>https://openalex.org/A5063961340</t>
  </si>
  <si>
    <t>https://orcid.org/0000-0002-3107-4147</t>
  </si>
  <si>
    <t>Ludwig-Maximilians-Universität München</t>
  </si>
  <si>
    <t>Andreas Beyer</t>
  </si>
  <si>
    <t>Cologne</t>
  </si>
  <si>
    <t>University of Cologne</t>
  </si>
  <si>
    <t>abeyer@mcw.edu</t>
  </si>
  <si>
    <t>Systems transcriptomics and gene regulation</t>
  </si>
  <si>
    <t>cancer and complex disease</t>
  </si>
  <si>
    <t>Lymphoid gene expression supports neuroprotective microglia function</t>
  </si>
  <si>
    <t>https://doi.org/10.1038/s41586-025-09662-z</t>
  </si>
  <si>
    <t>https://europepmc.org/articles/PMC12986413</t>
  </si>
  <si>
    <t>https://www.uni-koeln.de</t>
  </si>
  <si>
    <t>https://openalex.org/A5022041947</t>
  </si>
  <si>
    <t>https://orcid.org/0000-0002-3891-2123</t>
  </si>
  <si>
    <t>University of Cologne | Medical College of Wisconsin | Cologne Excellence Cluster on Cellular Stress Responses in Aging Associated Diseases | University Hospital Cologne</t>
  </si>
  <si>
    <t>Andreas Keller</t>
  </si>
  <si>
    <t>Saarbrücken</t>
  </si>
  <si>
    <t>Saarland University</t>
  </si>
  <si>
    <t>已核验（OpenAlex德国机构）</t>
  </si>
  <si>
    <t>andreas.keller@ccb.uni-saarland.de</t>
  </si>
  <si>
    <t>miRNA biomarkers and clinical bioinformatics</t>
  </si>
  <si>
    <t>liquid biopsy and precision diagnostics</t>
  </si>
  <si>
    <t>A single-cell atlas to map sex-specific gene-expression changes in blood upon neurodegeneration</t>
  </si>
  <si>
    <t>https://doi.org/10.1038/s41467-025-56833-7</t>
  </si>
  <si>
    <t>https://europepmc.org/articles/PMC12939772</t>
  </si>
  <si>
    <t>https://openalex.org/A5020280119</t>
  </si>
  <si>
    <t>https://orcid.org/0000-0002-5361-0895</t>
  </si>
  <si>
    <t>Helmholtz Institute for Pharmaceutical Research Saarland | Saarland University</t>
  </si>
  <si>
    <t>Andreas Pichlmair</t>
  </si>
  <si>
    <t>Technical University of Munich</t>
  </si>
  <si>
    <t>andreas.pichlmair@tum.de</t>
  </si>
  <si>
    <t>Viral RNA sensing and antiviral proteomics</t>
  </si>
  <si>
    <t>HCR-Proxy resolves site-specific proximal RNA microenvironments at subcompartmental resolution</t>
  </si>
  <si>
    <t>https://doi.org/10.1093/nar/gkag086</t>
  </si>
  <si>
    <t>https://europepmc.org/articles/PMC13156316</t>
  </si>
  <si>
    <t>https://www.virologie.med.tum.de</t>
  </si>
  <si>
    <t>https://openalex.org/A5065431449</t>
  </si>
  <si>
    <t>https://orcid.org/0000-0002-0166-1367</t>
  </si>
  <si>
    <t>Helmholtz Zentrum München | Department of Virology | German Center for Infection Research | Institute of Virology of the Slovak Academy of Sciences | Technical University of Munich</t>
  </si>
  <si>
    <t>Andreas Schlitzer</t>
  </si>
  <si>
    <t>Bonn</t>
  </si>
  <si>
    <t>University Hospital Bonn</t>
  </si>
  <si>
    <t>andreas.schlitzer@uni-bonn.de</t>
  </si>
  <si>
    <t>Single-cell RNA profiling of human immunity</t>
  </si>
  <si>
    <t>immune disease and infection</t>
  </si>
  <si>
    <t>Alternating high-fat diet enhances atherosclerosis by neutrophil reprogramming</t>
  </si>
  <si>
    <t>https://doi.org/10.1038/s41586-024-07693-6</t>
  </si>
  <si>
    <t>https://europepmc.org/articles/PMC10081871</t>
  </si>
  <si>
    <t>https://www.ukbonn.de</t>
  </si>
  <si>
    <t>https://openalex.org/A5088693540</t>
  </si>
  <si>
    <t>https://orcid.org/0000-0001-7662-3712</t>
  </si>
  <si>
    <t>University of Bonn</t>
  </si>
  <si>
    <t>Beatrix Suess</t>
  </si>
  <si>
    <t>Darmstadt</t>
  </si>
  <si>
    <t>Technical University Darmstadt</t>
  </si>
  <si>
    <t>bsuess@bio.tu-darmstadt.de</t>
  </si>
  <si>
    <t>RNA synthetic biology, riboswitches and RNA devices</t>
  </si>
  <si>
    <t>diagnostics and cell engineering</t>
  </si>
  <si>
    <t>The interaction between the RNA aptamer Dap1 and DasR mirrors DNA operator site recognition in GntR repressors</t>
  </si>
  <si>
    <t>https://doi.org/10.1093/nar/gkag489</t>
  </si>
  <si>
    <t>https://europepmc.org/articles/PMC13254537</t>
  </si>
  <si>
    <t>https://www.tu-darmstadt.de</t>
  </si>
  <si>
    <t>https://openalex.org/A5076651173</t>
  </si>
  <si>
    <t>https://orcid.org/0000-0001-8666-6716</t>
  </si>
  <si>
    <t>Technische Universität Darmstadt</t>
  </si>
  <si>
    <t>Christoph Dieterich</t>
  </si>
  <si>
    <t>Heidelberg</t>
  </si>
  <si>
    <t>Heidelberg University</t>
  </si>
  <si>
    <t>christoph.dieterich@uni-heidelberg.de</t>
  </si>
  <si>
    <t>Computational RNA biology and transcriptomics</t>
  </si>
  <si>
    <t>cardiovascular and genetic disease</t>
  </si>
  <si>
    <t>The two-step purification method ViREn identifies a single NSUN6-mediated 5-methylcytosine modification promoting dengue virus RNA genome turnover</t>
  </si>
  <si>
    <t>https://doi.org/10.1093/nar/gkag003</t>
  </si>
  <si>
    <t>https://europepmc.org/articles/PMC12552086</t>
  </si>
  <si>
    <t>https://www.uni-heidelberg.de</t>
  </si>
  <si>
    <t>https://openalex.org/A5083154676</t>
  </si>
  <si>
    <t>https://orcid.org/0000-0001-9468-6311</t>
  </si>
  <si>
    <t>Heidelberg University | University Hospital Heidelberg | German Center for Infection Research | German Centre for Cardiovascular Research | Integrative Medicine Institute | Klaus Tschira Foundation | Heidelberg University</t>
  </si>
  <si>
    <t>Daniel Wilson</t>
  </si>
  <si>
    <t>Hamburg</t>
  </si>
  <si>
    <t>University of Hamburg</t>
  </si>
  <si>
    <t>daniel.wilson@uni-hamburg.de</t>
  </si>
  <si>
    <t>Ribosome structure and translation in infection</t>
  </si>
  <si>
    <t>antibiotics and infectious disease</t>
  </si>
  <si>
    <t>A natural depsipeptide antibiotic binds the E-site of the bacterial ribosome</t>
  </si>
  <si>
    <t>https://doi.org/10.1038/s41586-026-10589-2</t>
  </si>
  <si>
    <t>https://europepmc.org/articles/PMC13233979</t>
  </si>
  <si>
    <t>https://www.uni-hamburg.de</t>
  </si>
  <si>
    <t>https://openalex.org/A5003327550</t>
  </si>
  <si>
    <t>https://orcid.org/0000-0003-3816-3828</t>
  </si>
  <si>
    <t>Universität Hamburg | Hamburg Institut (Germany)</t>
  </si>
  <si>
    <t>Dorothee Dormann</t>
  </si>
  <si>
    <t>Johannes Gutenberg University Mainz</t>
  </si>
  <si>
    <t>ddormann@uni-mainz.de</t>
  </si>
  <si>
    <t>RNA-binding protein dysfunction and phase separation</t>
  </si>
  <si>
    <t>ALS, FTD and neurodegeneration</t>
  </si>
  <si>
    <t>Intrinsically disordered RNA-binding motifs cooperate to catalyze RNA folding and drive phase separation</t>
  </si>
  <si>
    <t>https://doi.org/10.1093/nar/gkae1107</t>
  </si>
  <si>
    <t>https://europepmc.org/articles/PMC12706024</t>
  </si>
  <si>
    <t>https://www.imb.de/students-postdocs/international-phd-programme/ipp-groups/johannes-gutenberg-university-jgu-mainz</t>
  </si>
  <si>
    <t>https://openalex.org/A5068527702</t>
  </si>
  <si>
    <t>https://orcid.org/0000-0002-9260-2775</t>
  </si>
  <si>
    <t>Johannes Gutenberg University Mainz | University Medical Center of the Johannes Gutenberg University Mainz | Institute of Molecular Biology | Institute of Molecular Biology</t>
  </si>
  <si>
    <t>Eva Bartok</t>
  </si>
  <si>
    <t>ebartok@uni-bonn.de</t>
  </si>
  <si>
    <t>RNA sensing and innate immunity</t>
  </si>
  <si>
    <t>autoinflammation and infection</t>
  </si>
  <si>
    <t>RNA-binding proteins hnRNPM and ELAVL1 promote type-I interferon induction downstream of the nucleic acid sensors cGAS and RIG-I</t>
  </si>
  <si>
    <t>The EMBO Journal</t>
  </si>
  <si>
    <t>https://doi.org/10.1038/s44318-024-00331-x</t>
  </si>
  <si>
    <t>https://www.embopress.org/journal/14602075</t>
  </si>
  <si>
    <t>https://europepmc.org/articles/PMC12359151</t>
  </si>
  <si>
    <t>https://openalex.org/A5063294321</t>
  </si>
  <si>
    <t>https://orcid.org/0000-0003-0556-1950</t>
  </si>
  <si>
    <t>University of Bonn | University Hospital Bonn</t>
  </si>
  <si>
    <t>Florian Heyd</t>
  </si>
  <si>
    <t>Freie Universitat Berlin</t>
  </si>
  <si>
    <t>florian.heyd@fu-berlin.de</t>
  </si>
  <si>
    <t>Alternative splicing and immune-cell RNA regulation</t>
  </si>
  <si>
    <t>immune disease and cancer</t>
  </si>
  <si>
    <t>A Conserved Kinase-Based Body-Temperature Sensor Globally Controls Alternative Splicing and Gene Expression</t>
  </si>
  <si>
    <t>https://doi.org/10.1016/j.molcel.2020.01.028</t>
  </si>
  <si>
    <t>https://europepmc.org/articles/PMC12446472</t>
  </si>
  <si>
    <t>https://openalex.org/A5111318513</t>
  </si>
  <si>
    <t>Freie Universität Berlin</t>
  </si>
  <si>
    <t>Franz Narberhaus</t>
  </si>
  <si>
    <t>Bochum</t>
  </si>
  <si>
    <t>Ruhr University Bochum</t>
  </si>
  <si>
    <t>franz.narberhaus@rub.de</t>
  </si>
  <si>
    <t>RNA thermometers and bacterial RNA regulation</t>
  </si>
  <si>
    <t>infectious disease</t>
  </si>
  <si>
    <t>Two redox-responsive LysR-type transcription factors control the oxidative stress response of Agrobacterium tumefaciens</t>
  </si>
  <si>
    <t>https://doi.org/10.1093/nar/gkaf267</t>
  </si>
  <si>
    <t>https://europepmc.org/articles/PMC13046262</t>
  </si>
  <si>
    <t>https://www.ruhr-uni-bochum.de</t>
  </si>
  <si>
    <t>https://openalex.org/A5079185955</t>
  </si>
  <si>
    <t>https://orcid.org/0000-0002-8552-5310</t>
  </si>
  <si>
    <t>Friedemann Weber</t>
  </si>
  <si>
    <t>Giessen</t>
  </si>
  <si>
    <t>Justus Liebig University Giessen</t>
  </si>
  <si>
    <t>friedemann.weber@vetmed.uni-giessen.de</t>
  </si>
  <si>
    <t>RNA virus replication and innate immunity</t>
  </si>
  <si>
    <t>emerging viral infection</t>
  </si>
  <si>
    <t>Crimean–Congo haemorrhagic fever virus uses LDLR to bind and enter host cells</t>
  </si>
  <si>
    <t>Nature Microbiology</t>
  </si>
  <si>
    <t>https://doi.org/10.1038/s41564-024-01672-3</t>
  </si>
  <si>
    <t>https://www.nature.com/nmicrobiol/journal-impact</t>
  </si>
  <si>
    <t>https://europepmc.org/articles/PMC12568213</t>
  </si>
  <si>
    <t>https://www.uni-giessen.de</t>
  </si>
  <si>
    <t>https://openalex.org/A5088808959</t>
  </si>
  <si>
    <t>https://orcid.org/0000-0001-9737-337X</t>
  </si>
  <si>
    <t>Justus-Liebig-Universität Gießen</t>
  </si>
  <si>
    <t>Georg Stoecklin</t>
  </si>
  <si>
    <t>georg.stoecklin@medma.uni-heidelberg.de</t>
  </si>
  <si>
    <t>mRNA decay and post-transcriptional control</t>
  </si>
  <si>
    <t>inflammation and cancer</t>
  </si>
  <si>
    <t>https://europepmc.org/articles/PMC11604940</t>
  </si>
  <si>
    <t>https://openalex.org/A5013622991</t>
  </si>
  <si>
    <t>https://orcid.org/0000-0001-9284-9834</t>
  </si>
  <si>
    <t>University of Mannheim | German Cancer Research Center | Heidelberg University | University Hospital Heidelberg | DKFZ-ZMBH Alliance | University Medical Centre Mannheim</t>
  </si>
  <si>
    <t>Gil Westmeyer</t>
  </si>
  <si>
    <t>Technical University of Munich / Helmholtz Munich</t>
  </si>
  <si>
    <t>gil.westmeyer@tum.de</t>
  </si>
  <si>
    <t>Synthetic RNA sensors and molecular imaging</t>
  </si>
  <si>
    <t>diagnostics and cell therapy</t>
  </si>
  <si>
    <t>Non-destructive transcriptomics via vesicular export</t>
  </si>
  <si>
    <t>https://doi.org/10.1038/s41467-026-72072-w</t>
  </si>
  <si>
    <t>https://europepmc.org/articles/PMC13121718</t>
  </si>
  <si>
    <t>https://www.helmholtz-munich.de</t>
  </si>
  <si>
    <t>https://openalex.org/A5039343293</t>
  </si>
  <si>
    <t>https://orcid.org/0000-0001-7224-8919</t>
  </si>
  <si>
    <t>Helmholtz Zentrum München | Technical University of Munich</t>
  </si>
  <si>
    <t>Gunther Hartmann</t>
  </si>
  <si>
    <t>gunther.hartmann@uni-bonn.de</t>
  </si>
  <si>
    <t>Therapeutic RNA and innate immune sensing</t>
  </si>
  <si>
    <t>cancer immunotherapy and infection</t>
  </si>
  <si>
    <t>https://europepmc.org/articles/PMC12467475</t>
  </si>
  <si>
    <t>https://openalex.org/A5070273513</t>
  </si>
  <si>
    <t>https://orcid.org/0000-0003-1021-2018</t>
  </si>
  <si>
    <t>Hiroki Kato</t>
  </si>
  <si>
    <t>hkato@uni-bonn.de</t>
  </si>
  <si>
    <t>Viral RNA recognition and innate immunity</t>
  </si>
  <si>
    <t>A 20-amino-acid Cardiovirus protein exhibits cytokine-mimicry activity to regulate viral replication</t>
  </si>
  <si>
    <t>Cell Reports</t>
  </si>
  <si>
    <t>https://doi.org/10.1016/j.celrep.2025.116740</t>
  </si>
  <si>
    <t>https://www.cell.com/cell-reports/home</t>
  </si>
  <si>
    <t>https://europepmc.org/articles/PMC12501977</t>
  </si>
  <si>
    <t>https://openalex.org/A5062077013</t>
  </si>
  <si>
    <t>https://orcid.org/0000-0003-0838-6772</t>
  </si>
  <si>
    <t>Osaka Gakuin University | University of Bonn | Hokkaido University | University Hospital Bonn | Gifu University Hospital | Gifu University | The University of Osaka</t>
  </si>
  <si>
    <t>Jan Medenbach</t>
  </si>
  <si>
    <t>Regensburg</t>
  </si>
  <si>
    <t>University of Regensburg</t>
  </si>
  <si>
    <t>Jan.Medenbach@ur.de</t>
  </si>
  <si>
    <t>Translational control and RNA-binding proteins</t>
  </si>
  <si>
    <t>cancer and metabolic disease</t>
  </si>
  <si>
    <t>A rapid protocol for ribosome profiling of low input samples</t>
  </si>
  <si>
    <t>https://doi.org/10.1093/nar/gkad459</t>
  </si>
  <si>
    <t>https://europepmc.org/articles/PMC10758357</t>
  </si>
  <si>
    <t>https://openalex.org/A5072419423</t>
  </si>
  <si>
    <t>https://orcid.org/0000-0003-0749-7788</t>
  </si>
  <si>
    <t>University of Regensburg | RWTH Aachen University</t>
  </si>
  <si>
    <t>John Ziebuhr</t>
  </si>
  <si>
    <t>John.Ziebuhr@viro.med.uni-giessen.de</t>
  </si>
  <si>
    <t>Coronavirus RNA replication and processing</t>
  </si>
  <si>
    <t>coronavirus infection</t>
  </si>
  <si>
    <t>Reply to: The stress-inducible ER chaperone GRP78/BiP is upregulated during SARS-CoV-2 infection and acts as a pro-viral protein</t>
  </si>
  <si>
    <t>https://doi.org/10.1038/s41467-022-34066-2</t>
  </si>
  <si>
    <t>https://europepmc.org/articles/PMC10308930</t>
  </si>
  <si>
    <t>https://openalex.org/A5037220101</t>
  </si>
  <si>
    <t>https://orcid.org/0000-0002-5741-8825</t>
  </si>
  <si>
    <t>Justus-Liebig-Universität Gießen | German Center for Infection Research</t>
  </si>
  <si>
    <t>Jorg Vogel</t>
  </si>
  <si>
    <t>joerg.vogel@uni-wuerzburg.de</t>
  </si>
  <si>
    <t>RNA biology of bacterial infection and RNA therapeutics</t>
  </si>
  <si>
    <t>Translation-dependent degradation of cas12 mRNA triggered by an anti-CRISPR</t>
  </si>
  <si>
    <t>https://doi.org/10.1038/s41586-026-10440-8</t>
  </si>
  <si>
    <t>https://europepmc.org/articles/PMC12571901</t>
  </si>
  <si>
    <t>https://openalex.org/A5037571507</t>
  </si>
  <si>
    <t>https://orcid.org/0000-0003-2220-1404</t>
  </si>
  <si>
    <t>University of Würzburg | Medical Mission Institute | Helmholtz Centre for Infection Research | Innovation Cluster (Canada) | Helmholtz Institute for RNA-based Infection Research</t>
  </si>
  <si>
    <t>Julian Koenig</t>
  </si>
  <si>
    <t>Institute of Molecular Biology Mainz / University of Wurzburg</t>
  </si>
  <si>
    <t>julian.koenig@uk-koeln.de</t>
  </si>
  <si>
    <t>RNA splicing, RNA modifications and RBP networks</t>
  </si>
  <si>
    <t>cancer, ageing and neurodegeneration</t>
  </si>
  <si>
    <t>Effectiveness of home treatment in children and adolescents with psychiatric disorders—systematic review and meta-analysis</t>
  </si>
  <si>
    <t>BMC Medicine</t>
  </si>
  <si>
    <t>https://doi.org/10.1186/s12916-024-03448-2</t>
  </si>
  <si>
    <t>https://bmcmedicine.biomedcentral.com/about</t>
  </si>
  <si>
    <t>https://europepmc.org/articles/PMC13132349</t>
  </si>
  <si>
    <t>https://iqcb.uni-mainz.de/team/koenig-julian</t>
  </si>
  <si>
    <t>https://openalex.org/A5040105646</t>
  </si>
  <si>
    <t>https://orcid.org/0000-0003-1009-9625</t>
  </si>
  <si>
    <t>发送前需在机构官网复核；代表作标题未直接出现RNA关键词，研究方向仍属RNA范围</t>
  </si>
  <si>
    <t>University of Cologne | University Hospital Cologne</t>
  </si>
  <si>
    <t>Kai Papenfort</t>
  </si>
  <si>
    <t>kai.papenfort@uni-jena.de</t>
  </si>
  <si>
    <t>Bacterial regulatory RNA and host-pathogen interactions</t>
  </si>
  <si>
    <t>A 3’UTR-derived small RNA modulates the life cycle of the cholera toxin–encoding filamentous phage, CTXϕ</t>
  </si>
  <si>
    <t>Proceedings of the National Academy of Sciences</t>
  </si>
  <si>
    <t>https://doi.org/10.1073/pnas.2535142123</t>
  </si>
  <si>
    <t>https://www.pnas.org/about</t>
  </si>
  <si>
    <t>https://europepmc.org/articles/PMC13250501</t>
  </si>
  <si>
    <t>https://www.uni-jena.de</t>
  </si>
  <si>
    <t>https://openalex.org/A5060415677</t>
  </si>
  <si>
    <t>https://orcid.org/0000-0002-5560-9804</t>
  </si>
  <si>
    <t>Schiller International University | Friedrich Schiller University Jena</t>
  </si>
  <si>
    <t>Lars Dolken</t>
  </si>
  <si>
    <t>Doelken.Lars@mh-hannover.de</t>
  </si>
  <si>
    <t>Viral RNA, transcriptomics and antiviral mechanisms</t>
  </si>
  <si>
    <t>Host cell Z-RNAs activate ZBP1 during virus infections</t>
  </si>
  <si>
    <t>https://doi.org/10.1038/s41586-025-09705-5</t>
  </si>
  <si>
    <t>https://europepmc.org/articles/PMC13229380</t>
  </si>
  <si>
    <t>https://openalex.org/A5069299747</t>
  </si>
  <si>
    <t>https://orcid.org/0000-0002-4651-3544</t>
  </si>
  <si>
    <t>University of Würzburg | Medizinische Hochschule Hannover</t>
  </si>
  <si>
    <t>Lars Zender</t>
  </si>
  <si>
    <t>Tübingen</t>
  </si>
  <si>
    <t>University Hospital Tubingen</t>
  </si>
  <si>
    <t>lars.zender@med.uni-tuebingen.de</t>
  </si>
  <si>
    <t>Functional genomics and non-coding RNA in cancer</t>
  </si>
  <si>
    <t>liver cancer</t>
  </si>
  <si>
    <t>Author Correction: mTOR regulates MAPKAPK2 translation to control the senescence-associated secretory phenotype</t>
  </si>
  <si>
    <t>https://doi.org/10.1038/s41556-024-01443-6</t>
  </si>
  <si>
    <t>https://europepmc.org/articles/PMC11444366</t>
  </si>
  <si>
    <t>https://openalex.org/A5052075637</t>
  </si>
  <si>
    <t>https://orcid.org/0000-0001-7626-2849</t>
  </si>
  <si>
    <t>Universitätsklinikum Tübingen | University Children's Hospital Tübingen | Bernstein Center for Computational Neuroscience Tübingen | University of Tübingen</t>
  </si>
  <si>
    <t>Marco Binder</t>
  </si>
  <si>
    <t>German Cancer Research Center</t>
  </si>
  <si>
    <t>m.binder@dkfz-heidelberg.de</t>
  </si>
  <si>
    <t>Viral RNA sensing and innate immune dynamics</t>
  </si>
  <si>
    <t>viral infection and immunotherapy</t>
  </si>
  <si>
    <t>Integrin beta 1 facilitates non-enveloped hepatitis E virus cell entry through the recycling endosome</t>
  </si>
  <si>
    <t>https://doi.org/10.1038/s41467-025-61071-y</t>
  </si>
  <si>
    <t>https://europepmc.org/articles/PMC10709914</t>
  </si>
  <si>
    <t>https://www.dkfz.de</t>
  </si>
  <si>
    <t>https://openalex.org/A5042695802</t>
  </si>
  <si>
    <t>https://orcid.org/0000-0002-5805-6109</t>
  </si>
  <si>
    <t>German Cancer Research Center | Heidelberg University</t>
  </si>
  <si>
    <t>Mark Helm</t>
  </si>
  <si>
    <t>mhelm@uni-mainz.de</t>
  </si>
  <si>
    <t>RNA modifications, analytics and modified RNA delivery</t>
  </si>
  <si>
    <t>RNA vaccines and therapeutics</t>
  </si>
  <si>
    <t>ModiDeC: a multi-RNA modification classifier for direct nanopore sequencing</t>
  </si>
  <si>
    <t>https://doi.org/10.1093/nar/gkaf673</t>
  </si>
  <si>
    <t>https://europepmc.org/articles/PMC13288464</t>
  </si>
  <si>
    <t>https://www.imb.de/students-postdocs/international-phd-programme/ipp-groups/mark-helm</t>
  </si>
  <si>
    <t>https://openalex.org/A5001477363</t>
  </si>
  <si>
    <t>https://orcid.org/0000-0002-0154-0928</t>
  </si>
  <si>
    <t>Johannes Gutenberg University Mainz | University Medical Center of the Johannes Gutenberg University Mainz</t>
  </si>
  <si>
    <t>Markus Bohnsack</t>
  </si>
  <si>
    <t>University Medical Center Goettingen</t>
  </si>
  <si>
    <t>katherine.bohnsack@med.uni-goettingen.de</t>
  </si>
  <si>
    <t>Ribosome biogenesis and RNA modification</t>
  </si>
  <si>
    <t>ribosomopathies and cancer</t>
  </si>
  <si>
    <t>2′-O-methylation-dependent installation of N2-methylguanosine in the U6 internal stem loop facilitates efficient spliceosome assembly</t>
  </si>
  <si>
    <t>https://doi.org/10.1038/s41467-026-72355-2</t>
  </si>
  <si>
    <t>https://europepmc.org/articles/PMC13109388</t>
  </si>
  <si>
    <t>https://www.umg.eu</t>
  </si>
  <si>
    <t>https://openalex.org/A5031070367</t>
  </si>
  <si>
    <t>https://orcid.org/0000-0001-7063-5456</t>
  </si>
  <si>
    <t>Universitätsmedizin Göttingen | Max Planck Institute for Multidisciplinary Sciences | University of Göttingen</t>
  </si>
  <si>
    <t>Markus Ralser</t>
  </si>
  <si>
    <t>markus.ralser@charite.de</t>
  </si>
  <si>
    <t>Systems biology, transcriptomics and metabolism</t>
  </si>
  <si>
    <t>metabolic and rare disease</t>
  </si>
  <si>
    <t>Decreased cytoplasmic crowding via inhibition of ribosome biogenesis can trigger Candida albicans filamentous growth</t>
  </si>
  <si>
    <t>https://doi.org/10.1038/s41564-025-02205-2</t>
  </si>
  <si>
    <t>https://europepmc.org/articles/PMC12809002</t>
  </si>
  <si>
    <t>https://ralserlab.org</t>
  </si>
  <si>
    <t>https://openalex.org/A5070892021</t>
  </si>
  <si>
    <t>https://orcid.org/0000-0001-9535-7413</t>
  </si>
  <si>
    <t>Centre for Human Genetics | The Francis Crick Institute | Nuffield Orthopaedic Centre | Humboldt-Universität zu Berlin | University of Oxford | Berlin Institute of Health at Charité - Universitätsmedizin Berlin | Max Planck Institute for Molecular Genetics | Charité - Universitätsmedizin Berlin</t>
  </si>
  <si>
    <t>Markus Zweckstetter</t>
  </si>
  <si>
    <t>markus.zweckstetter@dzne.de</t>
  </si>
  <si>
    <t>RNA-protein assemblies and neurodegeneration</t>
  </si>
  <si>
    <t>ALS and protein-RNA aggregation</t>
  </si>
  <si>
    <t>RNA selectively modulates activity of virulent amyloid PSMα3 and host-defense LL-37 via phase separation and aggregation dynamics</t>
  </si>
  <si>
    <t>eLife</t>
  </si>
  <si>
    <t>https://doi.org/10.7554/elife.109290.4</t>
  </si>
  <si>
    <t>https://elifesciences.org/about</t>
  </si>
  <si>
    <t>https://europepmc.org/articles/PMC12365244</t>
  </si>
  <si>
    <t>https://openalex.org/A5033249566</t>
  </si>
  <si>
    <t>https://orcid.org/0000-0002-2536-6581</t>
  </si>
  <si>
    <t>German Center for Neurodegenerative Diseases | Universitätsmedizin Göttingen | Max Planck Institute for Biophysical Chemistry | Tissue Dynamics (Israel) | Max Planck Institute for Multidisciplinary Sciences | University of Göttingen</t>
  </si>
  <si>
    <t>Michael Boutros</t>
  </si>
  <si>
    <t>Heidelberg University / DKFZ</t>
  </si>
  <si>
    <t>m.boutros@dkfz.de</t>
  </si>
  <si>
    <t>RNAi screening and functional cancer genomics</t>
  </si>
  <si>
    <t>cancer precision medicine</t>
  </si>
  <si>
    <t>Improved in vivo gene knockout with high specificity using multiplexed Cas12a sgRNAs</t>
  </si>
  <si>
    <t>https://doi.org/10.1038/s41467-026-68434-z</t>
  </si>
  <si>
    <t>https://europepmc.org/articles/PMC12827956</t>
  </si>
  <si>
    <t>https://openalex.org/A5066882189</t>
  </si>
  <si>
    <t>https://orcid.org/0000-0002-9458-817X</t>
  </si>
  <si>
    <t>German Cancer Research Center | Heidelberg University | University Hospital Heidelberg | DKFZ-ZMBH Alliance | Deutsches Konsortium für Translationale Krebsforschung | Heidelberg University</t>
  </si>
  <si>
    <t>Michaela Frye</t>
  </si>
  <si>
    <t>m.frye@dkfz.de</t>
  </si>
  <si>
    <t>RNA modifications and stem-cell/cancer biology</t>
  </si>
  <si>
    <t>cancer and tissue regeneration</t>
  </si>
  <si>
    <t>Disrupting tRNA modifications to target mitochondrial vulnerabilities in drug-resistant leukemia cells</t>
  </si>
  <si>
    <t>Blood</t>
  </si>
  <si>
    <t>https://doi.org/10.1182/blood.2024027822</t>
  </si>
  <si>
    <t>https://ashpublications.org/blood/pages/about</t>
  </si>
  <si>
    <t>https://europepmc.org/articles/PMC12824680</t>
  </si>
  <si>
    <t>https://openalex.org/A5025823078</t>
  </si>
  <si>
    <t>https://orcid.org/0000-0002-5636-6840</t>
  </si>
  <si>
    <t>German Cancer Research Center | Heidelberg University | DKFZ-ZMBH Alliance</t>
  </si>
  <si>
    <t>Mirka Uhlirova</t>
  </si>
  <si>
    <t>mirka.uhlirova@uni-koeln.de</t>
  </si>
  <si>
    <t>Non-coding RNA and stress-response gene regulation</t>
  </si>
  <si>
    <t>cancer and inflammation</t>
  </si>
  <si>
    <t>Xrp1 governs the stress response program to spliceosome dysfunction</t>
  </si>
  <si>
    <t>https://doi.org/10.1093/nar/gkae055</t>
  </si>
  <si>
    <t>https://europepmc.org/articles/PMC10954486</t>
  </si>
  <si>
    <t>https://openalex.org/A5070522126</t>
  </si>
  <si>
    <t>https://orcid.org/0000-0002-5735-8287</t>
  </si>
  <si>
    <t>Cologne Excellence Cluster on Cellular Stress Responses in Aging Associated Diseases</t>
  </si>
  <si>
    <t>Niels Gehring</t>
  </si>
  <si>
    <t>ngehring@uni-koeln.de</t>
  </si>
  <si>
    <t>RNA quality control and nonsense-mediated decay</t>
  </si>
  <si>
    <t>genetic disease</t>
  </si>
  <si>
    <t>SMG1:SMG8:SMG9-complex integrity supports efficient execution of nonsense-mediated mRNA decay</t>
  </si>
  <si>
    <t>https://doi.org/10.1093/nar/gkag193</t>
  </si>
  <si>
    <t>https://europepmc.org/articles/PMC12923823</t>
  </si>
  <si>
    <t>https://openalex.org/A5035016185</t>
  </si>
  <si>
    <t>https://orcid.org/0000-0001-7792-1164</t>
  </si>
  <si>
    <t>TH Köln - University of Applied Sciences | University of Cologne</t>
  </si>
  <si>
    <t>Nikolaus Rajewsky</t>
  </si>
  <si>
    <t>rajewsky@mdc-berlin.de</t>
  </si>
  <si>
    <t>Systems biology, single-cell RNA and regulatory RNA</t>
  </si>
  <si>
    <t>precision medicine and disease models</t>
  </si>
  <si>
    <t>circVDJ-seq for T cell clonotype detection in single-cell and spatial multi-omics</t>
  </si>
  <si>
    <t>Genome Medicine</t>
  </si>
  <si>
    <t>https://doi.org/10.1186/s13073-026-01691-1</t>
  </si>
  <si>
    <t>https://genomemedicine.biomedcentral.com/about</t>
  </si>
  <si>
    <t>https://europepmc.org/articles/PMC12990811</t>
  </si>
  <si>
    <t>https://openalex.org/A5073506559</t>
  </si>
  <si>
    <t>https://orcid.org/0000-0002-4785-4332</t>
  </si>
  <si>
    <t>German Cancer Research Center | Max Delbrück Center | German Center for Neurodegenerative Diseases | Humboldt-Universität zu Berlin | MSB Medical School Berlin | German Cancer Society | National Center for Tumor Diseases | German Centre for Cardiovascular Research | Berlin Institute of Health at Charité - Universitätsmedizin Berlin | Berliner Wasserbetriebe (Germany) | Deutschen Konsortium für Translationale Krebsforschung | Freie Universität Berlin | Charité - Universitätsmedizin Berlin</t>
  </si>
  <si>
    <t>Norbert Huebner</t>
  </si>
  <si>
    <t>Max Delbruck Center / Charite</t>
  </si>
  <si>
    <t>nhuebner@mdc-berlin.de</t>
  </si>
  <si>
    <t>Cardiovascular transcriptomics and single-cell genomics</t>
  </si>
  <si>
    <t>cardiovascular disease</t>
  </si>
  <si>
    <t>Multiomic analyses uncover immunological signatures in acute and chronic coronary syndromes</t>
  </si>
  <si>
    <t>Nature Medicine</t>
  </si>
  <si>
    <t>https://doi.org/10.1038/s41591-024-02953-4</t>
  </si>
  <si>
    <t>https://www.nature.com/nm/journal-impact</t>
  </si>
  <si>
    <t>https://europepmc.org/articles/PMC8615466</t>
  </si>
  <si>
    <t>https://www.mdc-berlin.de</t>
  </si>
  <si>
    <t>https://openalex.org/A5110972092</t>
  </si>
  <si>
    <t>邮箱来源较早，必须复核；代表作标题未直接出现RNA关键词，研究方向仍属RNA范围</t>
  </si>
  <si>
    <t>Max Delbrück Center | German Centre for Cardiovascular Research | Charité - Universitätsmedizin Berlin</t>
  </si>
  <si>
    <t>Oliver Stegle</t>
  </si>
  <si>
    <t>EMBL / DKFZ</t>
  </si>
  <si>
    <t>oliver.stegle@embl.de</t>
  </si>
  <si>
    <t>Single-cell genomics and statistical transcriptomics</t>
  </si>
  <si>
    <t>cancer and precision medicine</t>
  </si>
  <si>
    <t>Cell2fate infers RNA velocity modules to improve cell fate prediction</t>
  </si>
  <si>
    <t>Nature Methods</t>
  </si>
  <si>
    <t>https://doi.org/10.1038/s41592-025-02608-3</t>
  </si>
  <si>
    <t>https://www.nature.com/nmeth/journal-impact</t>
  </si>
  <si>
    <t>https://europepmc.org/articles/PMC12903452</t>
  </si>
  <si>
    <t>https://openalex.org/A5091002491</t>
  </si>
  <si>
    <t>https://orcid.org/0000-0002-8818-7193</t>
  </si>
  <si>
    <t>German Cancer Research Center | Heidelberg University | Wellcome Sanger Institute | European Molecular Biology Laboratory</t>
  </si>
  <si>
    <t>Ralf Bartenschlager</t>
  </si>
  <si>
    <t>ralf.bartenschlager@med.uni-heidelberg.de</t>
  </si>
  <si>
    <t>Viral RNA replication and host interactions</t>
  </si>
  <si>
    <t>hepatitis and emerging viruses</t>
  </si>
  <si>
    <t>A coronavirus assembly inhibitor that targets the viral membrane protein</t>
  </si>
  <si>
    <t>https://doi.org/10.1038/s41586-025-08773-x</t>
  </si>
  <si>
    <t>https://europepmc.org/articles/PMC11271582</t>
  </si>
  <si>
    <t>https://openalex.org/A5015740141</t>
  </si>
  <si>
    <t>https://orcid.org/0000-0001-5601-9307</t>
  </si>
  <si>
    <t>German Cancer Research Center | Heidelberg University | German Center for Infection Research</t>
  </si>
  <si>
    <t>Ricarda Richter-Dennerlein</t>
  </si>
  <si>
    <t>ricarda.richter@med.uni-goettingen.de</t>
  </si>
  <si>
    <t>Mitochondrial ribosome biogenesis and translation</t>
  </si>
  <si>
    <t>mitochondrial disease</t>
  </si>
  <si>
    <t>Coupling of ribosome biogenesis and translation initiation in human mitochondria</t>
  </si>
  <si>
    <t>https://doi.org/10.1038/s41467-025-58827-x</t>
  </si>
  <si>
    <t>https://europepmc.org/articles/PMC12003892</t>
  </si>
  <si>
    <t>https://www.uni-goettingen.de/de/551867.html</t>
  </si>
  <si>
    <t>https://openalex.org/A5059109675</t>
  </si>
  <si>
    <t>https://orcid.org/0000-0001-8904-1543</t>
  </si>
  <si>
    <t>University of Göttingen</t>
  </si>
  <si>
    <t>Roland Eils</t>
  </si>
  <si>
    <t>Charite / Berlin Institute of Health</t>
  </si>
  <si>
    <t>roland_eils@fudan.edu.cn</t>
  </si>
  <si>
    <t>Clinical single-cell and spatial transcriptomics</t>
  </si>
  <si>
    <t>precision oncology and digital health</t>
  </si>
  <si>
    <t>Proteomic and transcriptomic profiling of brainstem, cerebellum and olfactory tissues in early- and late-phase COVID-19</t>
  </si>
  <si>
    <t>Nature Neuroscience</t>
  </si>
  <si>
    <t>https://doi.org/10.1038/s41593-024-01573-y</t>
  </si>
  <si>
    <t>https://www.nature.com/neuro/journal-impact</t>
  </si>
  <si>
    <t>https://europepmc.org/articles/PMC12765833</t>
  </si>
  <si>
    <t>https://www.bihealth.org</t>
  </si>
  <si>
    <t>https://openalex.org/A5044191947</t>
  </si>
  <si>
    <t>https://orcid.org/0000-0002-0034-4036</t>
  </si>
  <si>
    <t>Heidelberg University | Fudan University | University Hospital Heidelberg | Berlin Institute of Health at Charité - Universitätsmedizin Berlin</t>
  </si>
  <si>
    <t>Roland Hartmann</t>
  </si>
  <si>
    <t>Marburg</t>
  </si>
  <si>
    <t>Philipps University Marburg</t>
  </si>
  <si>
    <t>roland.hartmann@staff.uni-marburg.de</t>
  </si>
  <si>
    <t>RNase P, tRNA processing and antibacterial RNA targets</t>
  </si>
  <si>
    <t>Substrate and enzyme determinants for recognition by human mitochondrial RNase P</t>
  </si>
  <si>
    <t>https://doi.org/10.1093/nar/gkaf1145</t>
  </si>
  <si>
    <t>https://europepmc.org/articles/PMC13022451</t>
  </si>
  <si>
    <t>https://www.uni-marburg.de</t>
  </si>
  <si>
    <t>https://openalex.org/A5075590006</t>
  </si>
  <si>
    <t>https://orcid.org/0000-0001-8330-6459</t>
  </si>
  <si>
    <t>Philipps University of Marburg</t>
  </si>
  <si>
    <t>Rolf Backofen</t>
  </si>
  <si>
    <t>Freiburg</t>
  </si>
  <si>
    <t>University of Freiburg</t>
  </si>
  <si>
    <t>backofen@informatik.uni-freiburg.de</t>
  </si>
  <si>
    <t>RNA bioinformatics, RNA structure and regulatory genomics</t>
  </si>
  <si>
    <t>infection and human disease</t>
  </si>
  <si>
    <t>An updated evolutionary classification of CRISPR–Cas systems including rare variants</t>
  </si>
  <si>
    <t>https://doi.org/10.1038/s41564-025-02180-8</t>
  </si>
  <si>
    <t>https://europepmc.org/articles/PMC12839519</t>
  </si>
  <si>
    <t>https://www.uni-freiburg.de</t>
  </si>
  <si>
    <t>https://openalex.org/A5017672883</t>
  </si>
  <si>
    <t>https://orcid.org/0000-0001-8231-3323</t>
  </si>
  <si>
    <t>University of Freiburg | Kohler (New Zealand)</t>
  </si>
  <si>
    <t>Simon Alberti</t>
  </si>
  <si>
    <t>Dresden</t>
  </si>
  <si>
    <t>Technical University Dresden</t>
  </si>
  <si>
    <t>simon.alberti@tu-dresden.de</t>
  </si>
  <si>
    <t>RNA-protein condensates and stress granules</t>
  </si>
  <si>
    <t>neurodegeneration and ageing</t>
  </si>
  <si>
    <t>Aldolase-regulated G3BP1/2+ condensates control insulin mRNA storage in beta cells</t>
  </si>
  <si>
    <t>https://doi.org/10.1038/s44318-025-00448-7</t>
  </si>
  <si>
    <t>https://www.tu-dresden.de</t>
  </si>
  <si>
    <t>https://openalex.org/A5008277442</t>
  </si>
  <si>
    <t>https://orcid.org/0000-0003-4017-6505</t>
  </si>
  <si>
    <t>Center for Systems Biology Dresden | Technische Universität Dresden</t>
  </si>
  <si>
    <t>Stefan Bonn</t>
  </si>
  <si>
    <t>University Medical Center Hamburg-Eppendorf</t>
  </si>
  <si>
    <t>sbonn@uke.de</t>
  </si>
  <si>
    <t>Single-cell transcriptomics and computational neuroscience</t>
  </si>
  <si>
    <t>neurodegeneration and immune disease</t>
  </si>
  <si>
    <t>SCALE: unsupervised multiscale domain identification in spatial omics data</t>
  </si>
  <si>
    <t>https://doi.org/10.1093/nar/gkaf1456</t>
  </si>
  <si>
    <t>https://europepmc.org/articles/PMC12774663</t>
  </si>
  <si>
    <t>https://www.uke.de</t>
  </si>
  <si>
    <t>https://openalex.org/A5112007153</t>
  </si>
  <si>
    <t>Universität Hamburg | German Climate Computing Centre | University Medical Center Hamburg-Eppendorf</t>
  </si>
  <si>
    <t>Stefan Engelhardt</t>
  </si>
  <si>
    <t>Stefan.engelhardt@tum.de</t>
  </si>
  <si>
    <t>Non-coding RNA and oligonucleotide therapeutics</t>
  </si>
  <si>
    <t>Allele-specific genomics decodes gene targets and mechanisms of the non-coding genome</t>
  </si>
  <si>
    <t>https://doi.org/10.1093/nar/gkaf912</t>
  </si>
  <si>
    <t>https://europepmc.org/articles/PMC10382532</t>
  </si>
  <si>
    <t>https://openalex.org/A5073084904</t>
  </si>
  <si>
    <t>https://orcid.org/0000-0001-5378-8661</t>
  </si>
  <si>
    <t>Heidelberg University | University Hospital Heidelberg | German Centre for Cardiovascular Research | Technical University of Munich</t>
  </si>
  <si>
    <t>Stefan Huttelmaier</t>
  </si>
  <si>
    <t>Halle</t>
  </si>
  <si>
    <t>Martin Luther University Halle-Wittenberg</t>
  </si>
  <si>
    <t>stefan.huettelmaier@medizin.uni-halle.de</t>
  </si>
  <si>
    <t>RNA-binding proteins and post-transcriptional cancer biology</t>
  </si>
  <si>
    <t>cancer progression and biomarkers</t>
  </si>
  <si>
    <t>Lineage-restricted dependency on an oncofetal SNHG29-IGF2BP1 RNA axis in acute megakaryoblastic leukemia</t>
  </si>
  <si>
    <t>Leukemia</t>
  </si>
  <si>
    <t>https://doi.org/10.1038/s41375-026-03040-y</t>
  </si>
  <si>
    <t>https://www.nature.com/leu/journal-impact</t>
  </si>
  <si>
    <t>https://europepmc.org/articles/PMC13029781</t>
  </si>
  <si>
    <t>https://openalex.org/A5065864748</t>
  </si>
  <si>
    <t>https://orcid.org/0000-0001-9335-4227</t>
  </si>
  <si>
    <t>Stefanie Dimmeler</t>
  </si>
  <si>
    <t>Frankfurt</t>
  </si>
  <si>
    <t>Goethe University Frankfurt</t>
  </si>
  <si>
    <t>dimmeler@em.uni-frankfurt.de</t>
  </si>
  <si>
    <t>Non-coding RNA and cardiovascular regeneration</t>
  </si>
  <si>
    <t>Translation of genomics into routine cardiological practice: insights from a European Society of Cardiology Cardiovascular Round Table</t>
  </si>
  <si>
    <t>European Heart Journal</t>
  </si>
  <si>
    <t>https://doi.org/10.1093/eurheartj/ehaf041</t>
  </si>
  <si>
    <t>https://academic.oup.com/eurheartj/pages/about</t>
  </si>
  <si>
    <t>https://europepmc.org/articles/PMC12811516</t>
  </si>
  <si>
    <t>https://www.cardiopulmonary-institute.de</t>
  </si>
  <si>
    <t>https://openalex.org/A5025706940</t>
  </si>
  <si>
    <t>https://orcid.org/0000-0002-1045-2436</t>
  </si>
  <si>
    <t>Goethe University Frankfurt | Goethe-Institute United Kingdom | Frankfurt Institute for Advanced Studies | German Centre for Cardiovascular Research | Cardiopulmonary Research Science and Technology Institute | Cardio-Pulmonary Institute</t>
  </si>
  <si>
    <t>Sven Danckwardt</t>
  </si>
  <si>
    <t>University Medical Center Mainz</t>
  </si>
  <si>
    <t>Sven.Danckwardt@unimedizin-mainz.de</t>
  </si>
  <si>
    <t>Post-transcriptional RNA regulation and RNA therapeutics</t>
  </si>
  <si>
    <t>inflammation, vascular disease and cancer</t>
  </si>
  <si>
    <t>TREND-DB—a transcriptome-wide atlas of the dynamic landscape of alternative polyadenylation</t>
  </si>
  <si>
    <t>https://doi.org/10.1093/nar/gkaa722</t>
  </si>
  <si>
    <t>https://europepmc.org/articles/PMC10325701</t>
  </si>
  <si>
    <t>https://openalex.org/A5033188383</t>
  </si>
  <si>
    <t>https://orcid.org/0000-0002-3176-2265</t>
  </si>
  <si>
    <t>Universität Ulm | Johannes Gutenberg University Mainz | University Medical Center of the Johannes Gutenberg University Mainz | University Hospital Ulm</t>
  </si>
  <si>
    <t>Thomas Rudel</t>
  </si>
  <si>
    <t>thomas.rudel@uni-wuerzburg.de</t>
  </si>
  <si>
    <t>Host-pathogen transcriptomics and regulatory RNA</t>
  </si>
  <si>
    <t>bacterial infection</t>
  </si>
  <si>
    <t>Selective inhibition of miRNA processing by a herpesvirus-encoded miRNA</t>
  </si>
  <si>
    <t>https://doi.org/10.1038/s41586-022-04667-4</t>
  </si>
  <si>
    <t>https://europepmc.org/articles/PMC13183884</t>
  </si>
  <si>
    <t>https://openalex.org/A5019230382</t>
  </si>
  <si>
    <t>https://orcid.org/0000-0003-4740-6991</t>
  </si>
  <si>
    <t>Tilman Borggrefe</t>
  </si>
  <si>
    <t>Tilman.Borggrefe@biochemie.med.uni-giessen.de</t>
  </si>
  <si>
    <t>Alternative splicing and transcriptional regulation</t>
  </si>
  <si>
    <t>leukemia and immune disease</t>
  </si>
  <si>
    <t>The H2A.Z and NuRD associated protein HMG20A controls early head and heart developmental transcription programs</t>
  </si>
  <si>
    <t>https://doi.org/10.1038/s41467-023-36114-x</t>
  </si>
  <si>
    <t>https://europepmc.org/articles/PMC11649617</t>
  </si>
  <si>
    <t>https://openalex.org/A5036409925</t>
  </si>
  <si>
    <t>Tobias Schmid</t>
  </si>
  <si>
    <t>t.schmid@biochem.uni-frankfurt.de</t>
  </si>
  <si>
    <t>Post-transcriptional regulation and RNA stress responses</t>
  </si>
  <si>
    <t>A high-resolution map of functional miR-181 response elements in the thymus reveals the role of coding sequence targeting and an alternative seed match</t>
  </si>
  <si>
    <t>https://doi.org/10.1093/nar/gkae416</t>
  </si>
  <si>
    <t>https://europepmc.org/articles/PMC13298950</t>
  </si>
  <si>
    <t>https://www.uni-frankfurt.de</t>
  </si>
  <si>
    <t>https://openalex.org/A5086646466</t>
  </si>
  <si>
    <t>https://orcid.org/0000-0002-1952-5259</t>
  </si>
  <si>
    <t>Goethe University Frankfurt | German Cancer Research Center | Heidelberg University | Frankfurt Cancer Institute | Deutsches Konsortium für Translationale Krebsforschung | École Polytechnique Fédérale de Lausanne</t>
  </si>
  <si>
    <t>Tony Gutschner</t>
  </si>
  <si>
    <t>tony.gutschner@uk-halle.de</t>
  </si>
  <si>
    <t>Long non-coding RNA and functional cancer genomics</t>
  </si>
  <si>
    <t>cancer biomarkers and therapy</t>
  </si>
  <si>
    <t>RAVER1 hinders lethal EMT and modulates miR/RISC activity by the control of alternative splicing</t>
  </si>
  <si>
    <t>https://doi.org/10.1093/nar/gkae046</t>
  </si>
  <si>
    <t>https://europepmc.org/articles/PMC13170383</t>
  </si>
  <si>
    <t>https://openalex.org/A5063332455</t>
  </si>
  <si>
    <t>https://orcid.org/0000-0002-1722-3134</t>
  </si>
  <si>
    <t>Luther University | Martin Luther University Halle-Wittenberg</t>
  </si>
  <si>
    <t>Veit Hornung</t>
  </si>
  <si>
    <t>hornung@genzentrum.lmu.de</t>
  </si>
  <si>
    <t>Innate sensing of RNA and nucleic acids</t>
  </si>
  <si>
    <t>infection, inflammation and immunotherapy</t>
  </si>
  <si>
    <t>Pseudouridine RNA avoids immune detection through impaired endolysosomal processing and TLR engagement</t>
  </si>
  <si>
    <t>https://doi.org/10.1016/j.cell.2025.05.032</t>
  </si>
  <si>
    <t>https://europepmc.org/articles/PMC12956005</t>
  </si>
  <si>
    <t>https://www.genzentrum.uni-muenchen.de</t>
  </si>
  <si>
    <t>https://openalex.org/A5016667606</t>
  </si>
  <si>
    <t>https://orcid.org/0000-0002-4150-194X</t>
  </si>
  <si>
    <t>University of Massachusetts Chan Medical School | German Center for Pediatric and Adolescent Rheumatology | Gene Therapy Laboratory | Ludwig-Maximilians-Universität München</t>
  </si>
  <si>
    <t>Wolfgang Huber</t>
  </si>
  <si>
    <t>EMBL Heidelberg</t>
  </si>
  <si>
    <t>wolfgang.huber@embl.org</t>
  </si>
  <si>
    <t>Statistical transcriptomics and single-cell genomics</t>
  </si>
  <si>
    <t>Unpaired data as a first-order challenge in single-cell and spatial proteomics</t>
  </si>
  <si>
    <t>Nature Biotechnology</t>
  </si>
  <si>
    <t>https://doi.org/10.1038/s41587-026-03074-8</t>
  </si>
  <si>
    <t>https://www.nature.com/nbt/journal-impact</t>
  </si>
  <si>
    <t>https://europepmc.org/articles/PMC11906359</t>
  </si>
  <si>
    <t>https://www.embl.org</t>
  </si>
  <si>
    <t>https://openalex.org/A5029601108</t>
  </si>
  <si>
    <t>https://orcid.org/0000-0002-0474-2218</t>
  </si>
  <si>
    <t>European Molecular Biology Organization | European Molecular Biology Laboratory</t>
  </si>
  <si>
    <t>Marina Rodnina</t>
  </si>
  <si>
    <t>Max Planck Institute for Multidisciplinary Sciences</t>
  </si>
  <si>
    <t>rodnina@mpinat.mpg.de</t>
  </si>
  <si>
    <t>Translation mechanisms, ribosome dynamics and fidelity</t>
  </si>
  <si>
    <t>translation disorders and antibiotics</t>
  </si>
  <si>
    <t>Author Correction: Structural basis for translational control by the human 48S initiation complex</t>
  </si>
  <si>
    <t>https://doi.org/10.1038/s41594-026-01777-9</t>
  </si>
  <si>
    <t>https://europepmc.org/articles/PMC13043293</t>
  </si>
  <si>
    <t>https://www.mpinat.mpg.de</t>
  </si>
  <si>
    <t>https://openalex.org/A5028476493</t>
  </si>
  <si>
    <t>https://orcid.org/0000-0003-0105-3879</t>
  </si>
  <si>
    <t>发送前需在机构官网复核；OpenAlex当前机构国家未直接匹配</t>
  </si>
  <si>
    <t>Irmtraud Meyer</t>
  </si>
  <si>
    <t>Irmtraud.Meyer@mdc-berlin.de</t>
  </si>
  <si>
    <t>RNA structure bioinformatics and transcriptome regulation</t>
  </si>
  <si>
    <t>disease-related RNA regulation</t>
  </si>
  <si>
    <t>&lt;scp&gt;DuplexDiscoverer&lt;/scp&gt;: a computational method for the analysis of experimental duplex RNA–RNA interaction data</t>
  </si>
  <si>
    <t>https://doi.org/10.1093/nar/gkaf266</t>
  </si>
  <si>
    <t>https://www.mdc-berlin.de/meyer</t>
  </si>
  <si>
    <t>https://openalex.org/A5012564571</t>
  </si>
  <si>
    <t>https://orcid.org/0000-0002-4048-3479</t>
  </si>
  <si>
    <t>Max Delbrück Center | Institute of Computer Science | Freie Universität Berlin</t>
  </si>
  <si>
    <t>Marie-Luise Winz</t>
  </si>
  <si>
    <t>mwinz@uni-mainz.de</t>
  </si>
  <si>
    <t>Co-translational RNA quality control</t>
  </si>
  <si>
    <t>translation-associated disease mechanisms</t>
  </si>
  <si>
    <t>Yeast elongation factor homolog New1 protects a subset of mRNAs from degradation by no-go decay</t>
  </si>
  <si>
    <t>https://doi.org/10.1093/nar/gkag047</t>
  </si>
  <si>
    <t>https://europepmc.org/articles/PMC12852954</t>
  </si>
  <si>
    <t>https://openalex.org/A5089009957</t>
  </si>
  <si>
    <t>https://orcid.org/0000-0003-0740-8618</t>
  </si>
  <si>
    <t>Eckart Meese</t>
  </si>
  <si>
    <t>Homburg</t>
  </si>
  <si>
    <t>Saarland University Hospital</t>
  </si>
  <si>
    <t>laura.groeger@uks.eu</t>
  </si>
  <si>
    <t>低（疑似合作者邮箱）</t>
  </si>
  <si>
    <t>miRNA and molecular biomarkers</t>
  </si>
  <si>
    <t>cancer diagnostics</t>
  </si>
  <si>
    <t>https://europepmc.org/articles/PMC12928640</t>
  </si>
  <si>
    <t>https://openalex.org/A5054514348</t>
  </si>
  <si>
    <t>https://orcid.org/0000-0001-7569-819X</t>
  </si>
  <si>
    <t>邮箱与PI姓名不匹配，不建议直接使用</t>
  </si>
  <si>
    <t>Emmanuelle Charpentier</t>
  </si>
  <si>
    <t>Max Planck Unit for the Science of Pathogens</t>
  </si>
  <si>
    <t>research@emmanuelle-charpentier.org</t>
  </si>
  <si>
    <t>RNA-guided genome editing and bacterial RNA biology</t>
  </si>
  <si>
    <t>gene and cell therapy</t>
  </si>
  <si>
    <t>Insights into spacer acquisition of the type V-A CRISPR–Cas system of &lt;i&gt;Francisella novicida&lt;/i&gt; U112</t>
  </si>
  <si>
    <t>https://doi.org/10.1093/nar/gkag276</t>
  </si>
  <si>
    <t>https://europepmc.org/articles/PMC13034035</t>
  </si>
  <si>
    <t>https://openalex.org/A5074743574</t>
  </si>
  <si>
    <t>https://orcid.org/0000-0002-0254-0778</t>
  </si>
  <si>
    <t>Humboldt-Universität zu Berlin | Max Planck Institute for the History of Science | Max Planck Unit for the Science of Pathogens | Charité - Universitätsmedizin Berlin</t>
  </si>
  <si>
    <t>Alexander Heckel</t>
  </si>
  <si>
    <t>heckel@uni-frankfurt.de</t>
  </si>
  <si>
    <t>Chemical control and imaging of RNA</t>
  </si>
  <si>
    <t>RNA diagnostics and biotechnology</t>
  </si>
  <si>
    <t>Neuronal processes contain the essential components for the late steps of ribosome biogenesis</t>
  </si>
  <si>
    <t>https://doi.org/10.1073/pnas.2502424122</t>
  </si>
  <si>
    <t>https://europepmc.org/articles/PMC13098303</t>
  </si>
  <si>
    <t>https://openalex.org/A5035608578</t>
  </si>
  <si>
    <t>https://orcid.org/0000-0003-3541-4548</t>
  </si>
  <si>
    <t>Goethe University Frankfurt | Frankfurt Institute for Advanced Studies</t>
  </si>
  <si>
    <t>Benedikt Beckmann</t>
  </si>
  <si>
    <t>benedikt.beckmann@iri-lifesciences.de</t>
  </si>
  <si>
    <t>RNA-protein interactions and RNA interactomics</t>
  </si>
  <si>
    <t>infection and stress-response mechanisms</t>
  </si>
  <si>
    <t>Giant magnetocaloric effect in a rare-earth-free layered coordination polymer at liquid hydrogen temperatures</t>
  </si>
  <si>
    <t>https://doi.org/10.1038/s41467-024-52837-x</t>
  </si>
  <si>
    <t>https://europepmc.org/articles/PMC6511874</t>
  </si>
  <si>
    <t>https://openalex.org/A5015124424</t>
  </si>
  <si>
    <t>https://orcid.org/0000-0002-2232-1804</t>
  </si>
  <si>
    <t>Christian Hammann</t>
  </si>
  <si>
    <t>Bremen</t>
  </si>
  <si>
    <t>Constructor University Bremen</t>
  </si>
  <si>
    <t>christian.hammann@health-and-medical-university.de</t>
  </si>
  <si>
    <t>Ribozymes and catalytic RNA</t>
  </si>
  <si>
    <t>RNA biotechnology</t>
  </si>
  <si>
    <t>Eukaryotic life without tQCUG: the role of Elongator-dependent tRNA modifications in Dictyostelium discoideum</t>
  </si>
  <si>
    <t>https://doi.org/10.1093/nar/gkaa560</t>
  </si>
  <si>
    <t>https://europepmc.org/articles/PMC8817022</t>
  </si>
  <si>
    <t>https://constructor.university</t>
  </si>
  <si>
    <t>https://openalex.org/A5044874280</t>
  </si>
  <si>
    <t>https://orcid.org/0000-0003-3528-179X</t>
  </si>
  <si>
    <t>University of Potsdam</t>
  </si>
  <si>
    <t>Claudia Hobartner</t>
  </si>
  <si>
    <t>claudia.hoebartner@uni-wuerzburg.de</t>
  </si>
  <si>
    <t>RNA chemistry, RNA modification and editing</t>
  </si>
  <si>
    <t>RNA diagnostics and therapeutics</t>
  </si>
  <si>
    <t>https://europepmc.org/articles/PMC12184302</t>
  </si>
  <si>
    <t>https://openalex.org/A5021290270</t>
  </si>
  <si>
    <t>https://orcid.org/0000-0002-4548-2299</t>
  </si>
  <si>
    <t>Dierk Niessing</t>
  </si>
  <si>
    <t>Ulm</t>
  </si>
  <si>
    <t>Ulm University / Helmholtz Munich</t>
  </si>
  <si>
    <t>dierk.niessing@uni-ulm.de</t>
  </si>
  <si>
    <t>mRNA localization and structural RNA biology</t>
  </si>
  <si>
    <t>neurological and developmental disease</t>
  </si>
  <si>
    <t>The yeast phosphofructokinase β-subunit has RNA unwinding activity and modulates cell cycle progression</t>
  </si>
  <si>
    <t>https://doi.org/10.1093/nar/gkag184</t>
  </si>
  <si>
    <t>https://europepmc.org/articles/PMC13251743</t>
  </si>
  <si>
    <t>https://openalex.org/A5060682129</t>
  </si>
  <si>
    <t>https://orcid.org/0000-0002-5589-369X</t>
  </si>
  <si>
    <t>Universität Ulm | Helmholtz Zentrum München</t>
  </si>
  <si>
    <t>Elena Conti</t>
  </si>
  <si>
    <t>Max Planck Institute of Biochemistry</t>
  </si>
  <si>
    <t>elena.conti@systbot.uzh.ch</t>
  </si>
  <si>
    <t>RNA decay, RNA transport and structural RNA biology</t>
  </si>
  <si>
    <t>RNA quality-control disorders</t>
  </si>
  <si>
    <t>Direct coupling of the human nuclear exosome adaptors NEXT and PAXT with transcription termination and processing machineries</t>
  </si>
  <si>
    <t>https://doi.org/10.1093/nar/gkag088</t>
  </si>
  <si>
    <t>https://europepmc.org/articles/PMC13251838</t>
  </si>
  <si>
    <t>https://www.biochem.mpg.de/conti</t>
  </si>
  <si>
    <t>https://openalex.org/A5124137115</t>
  </si>
  <si>
    <t>Gunter Meister</t>
  </si>
  <si>
    <t>gunter.meister@ur.de</t>
  </si>
  <si>
    <t>miRNA and RNA silencing</t>
  </si>
  <si>
    <t>cancer and viral disease</t>
  </si>
  <si>
    <t>Cytoplasmic DIS3 is an exosome-independent endoribonuclease with catalytic activity toward circular RNAs</t>
  </si>
  <si>
    <t>https://doi.org/10.1016/j.celrep.2025.115769</t>
  </si>
  <si>
    <t>https://europepmc.org/articles/PMC11612968</t>
  </si>
  <si>
    <t>https://openalex.org/A5058056443</t>
  </si>
  <si>
    <t>https://orcid.org/0000-0002-2098-9923</t>
  </si>
  <si>
    <t>Harald Schwalbe</t>
  </si>
  <si>
    <t>schwalbe@nmr.uni-frankfurt.de</t>
  </si>
  <si>
    <t>RNA structure, dynamics and NMR</t>
  </si>
  <si>
    <t>RNA-targeted drug discovery</t>
  </si>
  <si>
    <t>The 5′-terminal stem–loop RNA element of SARS-CoV-2 features highly dynamic structural elements that are sensitive to differences in cellular pH</t>
  </si>
  <si>
    <t>https://doi.org/10.1093/nar/gkae477</t>
  </si>
  <si>
    <t>https://europepmc.org/articles/PMC13097084</t>
  </si>
  <si>
    <t>https://openalex.org/A5032564649</t>
  </si>
  <si>
    <t>https://orcid.org/0000-0001-5693-7909</t>
  </si>
  <si>
    <t>Goethe University Frankfurt | Goethe-Institute United Kingdom | Max Planck Institute for Brain Research | St. John's College</t>
  </si>
  <si>
    <t>Henning Urlaub</t>
  </si>
  <si>
    <t>henning.urlaub@mpinat.mpg.de</t>
  </si>
  <si>
    <t>RNA-protein interactomics and spliceosome proteomics</t>
  </si>
  <si>
    <t>RNA-processing disease</t>
  </si>
  <si>
    <t>Structural basis of Nipah virus RNA synthesis</t>
  </si>
  <si>
    <t>https://doi.org/10.1038/s41467-025-57219-5</t>
  </si>
  <si>
    <t>https://europepmc.org/articles/PMC12359043</t>
  </si>
  <si>
    <t>https://openalex.org/A5089006758</t>
  </si>
  <si>
    <t>https://orcid.org/0000-0003-1837-5233</t>
  </si>
  <si>
    <t>Bioanalytica (Switzerland) | Universitätsmedizin Göttingen | Nanoscale Microscopy and Molecular Physiology of the Brain Cluster of Excellence 171 — DFG Research Center 103 | Max Planck Institute for Biophysical Chemistry | Tissue Dynamics (Israel) | Max Planck Institute for Multidisciplinary Sciences | University of Göttingen</t>
  </si>
  <si>
    <t>Holger Stark</t>
  </si>
  <si>
    <t>stark@hhu.de</t>
  </si>
  <si>
    <t>Structural biology of spliceosomes and ribosomes</t>
  </si>
  <si>
    <t>RNA processing mechanisms</t>
  </si>
  <si>
    <t>Sphingolipid subtypes differentially control proinsulin processing and systemic glucose homeostasis</t>
  </si>
  <si>
    <t>https://doi.org/10.1038/s41556-022-01027-2</t>
  </si>
  <si>
    <t>https://europepmc.org/articles/PMC12964414</t>
  </si>
  <si>
    <t>https://openalex.org/A5102809674</t>
  </si>
  <si>
    <t>https://orcid.org/0000-0003-3336-1710</t>
  </si>
  <si>
    <t>Goethe University Frankfurt | Goethe-Institute United Kingdom | Heinrich Heine University Düsseldorf</t>
  </si>
  <si>
    <t>Irmgard Sinning</t>
  </si>
  <si>
    <t>irmi.sinning@bzh.uni-heidelberg.de</t>
  </si>
  <si>
    <t>Ribosome-associated RNA and structural biology</t>
  </si>
  <si>
    <t>translation and protein-biogenesis disorders</t>
  </si>
  <si>
    <t>NatA engages in multi-factor complexes at the ribosomal polypeptide tunnel exit</t>
  </si>
  <si>
    <t>https://doi.org/10.1038/s41467-026-68787-5</t>
  </si>
  <si>
    <t>https://europepmc.org/articles/PMC12830823</t>
  </si>
  <si>
    <t>https://bzh.db-engine.de/</t>
  </si>
  <si>
    <t>https://openalex.org/A5060010220</t>
  </si>
  <si>
    <t>https://orcid.org/0000-0001-9127-4477</t>
  </si>
  <si>
    <t>Jirka Peschek</t>
  </si>
  <si>
    <t>jirka.peschek@bzh.uni-heidelberg.de</t>
  </si>
  <si>
    <t>RNA processing, repair and quality control</t>
  </si>
  <si>
    <t>RNA damage and disease mechanisms</t>
  </si>
  <si>
    <t>Structure of fungal tRNA ligase Trl1 with RNA reveals conserved substrate-binding principles</t>
  </si>
  <si>
    <t>https://doi.org/10.1038/s41594-025-01589-3</t>
  </si>
  <si>
    <t>https://europepmc.org/articles/PMC12621585</t>
  </si>
  <si>
    <t>https://openalex.org/A5029865848</t>
  </si>
  <si>
    <t>https://orcid.org/0000-0001-8158-9301</t>
  </si>
  <si>
    <t>Heidelberg University | Heidelberg University of Education | Heidelberg Engineering (Germany) | Heidelberg University</t>
  </si>
  <si>
    <t>Mandy Jeske</t>
  </si>
  <si>
    <t>jeske@bzh.uni-heidelberg.de</t>
  </si>
  <si>
    <t>piRNA biogenesis and germline RNA</t>
  </si>
  <si>
    <t>reproductive and developmental disease</t>
  </si>
  <si>
    <t>Recurrent innovation of protein-protein interactions in the Drosophila piRNA pathway</t>
  </si>
  <si>
    <t>https://doi.org/10.1038/s44318-025-00439-8</t>
  </si>
  <si>
    <t>https://europepmc.org/articles/PMC12685051</t>
  </si>
  <si>
    <t>https://openalex.org/A5062439581</t>
  </si>
  <si>
    <t>https://orcid.org/0000-0002-1107-9442</t>
  </si>
  <si>
    <t>Heidelberg University | Heidelberg University of Education | Heidelberg University</t>
  </si>
  <si>
    <t>Markus Landthaler</t>
  </si>
  <si>
    <t>markus.landthaler@mdc-berlin.de</t>
  </si>
  <si>
    <t>Post-transcriptional gene regulation and RNA-binding proteins</t>
  </si>
  <si>
    <t>human disease mechanisms</t>
  </si>
  <si>
    <t>Herpesviruses mimic zygotic genome activation to promote viral replication</t>
  </si>
  <si>
    <t>https://doi.org/10.1038/s41467-025-55928-5</t>
  </si>
  <si>
    <t>https://europepmc.org/articles/PMC11611909</t>
  </si>
  <si>
    <t>https://openalex.org/A5052259098</t>
  </si>
  <si>
    <t>https://orcid.org/0000-0002-1075-8734</t>
  </si>
  <si>
    <t>Max Delbrück Center | Humboldt-Universität zu Berlin</t>
  </si>
  <si>
    <t>Matthias Hentze</t>
  </si>
  <si>
    <t>hentze@embl.org</t>
  </si>
  <si>
    <t>RNA metabolism and RNA-binding proteins</t>
  </si>
  <si>
    <t>Signal or noise? RNA-binding proteins and the challenges of binding site assignments</t>
  </si>
  <si>
    <t>https://doi.org/10.1093/nar/gkag452</t>
  </si>
  <si>
    <t>https://europepmc.org/articles/PMC13191282</t>
  </si>
  <si>
    <t>https://openalex.org/A5000270755</t>
  </si>
  <si>
    <t>https://orcid.org/0000-0002-4023-7876</t>
  </si>
  <si>
    <t>European Bioinformatics Institute | Heidelberg University | European Molecular Biology Laboratory | European Molecular Biology Laboratory</t>
  </si>
  <si>
    <t>Matthias Selbach</t>
  </si>
  <si>
    <t>matthias.selbach@mdc-berlin.de</t>
  </si>
  <si>
    <t>Translation control and RNA-protein regulation</t>
  </si>
  <si>
    <t>cancer and cellular disease mechanisms</t>
  </si>
  <si>
    <t>https://europepmc.org/articles/PMC12106795</t>
  </si>
  <si>
    <t>https://openalex.org/A5042757297</t>
  </si>
  <si>
    <t>https://orcid.org/0000-0003-2454-8751</t>
  </si>
  <si>
    <t>Max Delbrück Center | Charité - Universitätsmedizin Berlin</t>
  </si>
  <si>
    <t>Michael Sattler</t>
  </si>
  <si>
    <t>Helmholtz Munich / Technical University of Munich</t>
  </si>
  <si>
    <t>michael.sattler@helmholtz-munich.de</t>
  </si>
  <si>
    <t>RNA structure and RNA-protein complexes</t>
  </si>
  <si>
    <t>disease-associated RNA processing</t>
  </si>
  <si>
    <t>https://europepmc.org/articles/PMC12684335</t>
  </si>
  <si>
    <t>https://openalex.org/A5046686387</t>
  </si>
  <si>
    <t>https://orcid.org/0000-0002-1594-0527</t>
  </si>
  <si>
    <t>Centre National des Sciences et Technologies Nucléaires | Target (Germany) | Technical University of Munich</t>
  </si>
  <si>
    <t>Patrick Cramer</t>
  </si>
  <si>
    <t>patrick.cramer@mpinat.mpg.de</t>
  </si>
  <si>
    <t>Transcription, RNA polymerase and gene regulation</t>
  </si>
  <si>
    <t>mechanistic basis of disease</t>
  </si>
  <si>
    <t>Mechanism of co-transcriptional cap snatching by influenza polymerase</t>
  </si>
  <si>
    <t>https://doi.org/10.1038/s41586-026-10189-0</t>
  </si>
  <si>
    <t>https://europepmc.org/articles/PMC13128444</t>
  </si>
  <si>
    <t>https://openalex.org/A5008281609</t>
  </si>
  <si>
    <t>https://orcid.org/0000-0001-5454-7755</t>
  </si>
  <si>
    <t>Max Planck Institute of Molecular Plant Physiology</t>
  </si>
  <si>
    <t>Ralf Ficner</t>
  </si>
  <si>
    <t>University of Goettingen</t>
  </si>
  <si>
    <t>rficner@gwdg.de</t>
  </si>
  <si>
    <t>Structural RNA biology and RNA modification enzymes</t>
  </si>
  <si>
    <t>RNA-processing mechanisms</t>
  </si>
  <si>
    <t>Chemical crosslinking extends and complements UV crosslinking in analysis of RNA/DNA nucleic acid–protein interaction sites by mass spectrometry</t>
  </si>
  <si>
    <t>https://doi.org/10.1093/nar/gkaf727</t>
  </si>
  <si>
    <t>https://europepmc.org/articles/PMC12312562</t>
  </si>
  <si>
    <t>https://www.uni-goettingen.de</t>
  </si>
  <si>
    <t>https://openalex.org/A5089962199</t>
  </si>
  <si>
    <t>https://orcid.org/0000-0002-1739-6086</t>
  </si>
  <si>
    <t>Sabine Mueller</t>
  </si>
  <si>
    <t>Greifswald</t>
  </si>
  <si>
    <t>University of Greifswald</t>
  </si>
  <si>
    <t>sabine.mueller@ucsf.edu</t>
  </si>
  <si>
    <t>RNA catalysis and chemical RNA biology</t>
  </si>
  <si>
    <t>Author Correction: A joint international consensus statement for measuring quality of survival for patients with childhood cancer</t>
  </si>
  <si>
    <t>https://doi.org/10.1038/s41591-024-03065-9</t>
  </si>
  <si>
    <t>https://europepmc.org/articles/PMC13123679</t>
  </si>
  <si>
    <t>https://www.uni-greifswald.de</t>
  </si>
  <si>
    <t>https://openalex.org/A5103236468</t>
  </si>
  <si>
    <t>https://orcid.org/0000-0002-8216-9357</t>
  </si>
  <si>
    <t>Miltenyi Biotec (Germany) | University of California, San Francisco | University Children's Hospital Zurich | University of San Francisco</t>
  </si>
  <si>
    <t>Sarah Adio</t>
  </si>
  <si>
    <t>sarah.adio@uni-goettingen.de</t>
  </si>
  <si>
    <t>Single-molecule ribosome dynamics and mRNA translation</t>
  </si>
  <si>
    <t>translation disorders</t>
  </si>
  <si>
    <t>Conformational dynamics of the RNA binding channel regulates loading and translocation of the DEAH-box helicase Prp43</t>
  </si>
  <si>
    <t>https://doi.org/10.1093/nar/gkad362</t>
  </si>
  <si>
    <t>https://europepmc.org/articles/PMC10325901</t>
  </si>
  <si>
    <t>https://uni-goettingen.de</t>
  </si>
  <si>
    <t>https://openalex.org/A5062761046</t>
  </si>
  <si>
    <t>https://orcid.org/0000-0002-6555-0850</t>
  </si>
  <si>
    <t>Steve Hoffmann</t>
  </si>
  <si>
    <t>Leipzig</t>
  </si>
  <si>
    <t>Leipzig University</t>
  </si>
  <si>
    <t>Steve.Hoffmann@leibniz-fli.de</t>
  </si>
  <si>
    <t>Computational RNA biology and transcriptome annotation</t>
  </si>
  <si>
    <t>human disease genomics</t>
  </si>
  <si>
    <t>Author Correction: Large-scale benchmarking of circRNA detection tools reveals large differences in sensitivity but not in precision</t>
  </si>
  <si>
    <t>https://doi.org/10.1038/s41592-024-02569-z</t>
  </si>
  <si>
    <t>https://europepmc.org/articles/PMC11735407</t>
  </si>
  <si>
    <t>https://www.uni-leipzig.de</t>
  </si>
  <si>
    <t>https://openalex.org/A5070930800</t>
  </si>
  <si>
    <t>https://orcid.org/0000-0002-5239-7201</t>
  </si>
  <si>
    <t>Leibniz Association | Leibniz Institute on Aging - Fritz Lipmann Institute (FLI) | Freie Universität Berlin</t>
  </si>
  <si>
    <t>Tugce Aktas</t>
  </si>
  <si>
    <t>aktas@molgen.mpg.de</t>
  </si>
  <si>
    <t>Quantitative RNA biology and RNA-protein regulation</t>
  </si>
  <si>
    <t>gene regulation and disease mechanisms</t>
  </si>
  <si>
    <t>A multi-factor trafficking site on the spliceosome remodeling enzyme BRR2 recruits C9ORF78 to regulate alternative splicing</t>
  </si>
  <si>
    <t>https://doi.org/10.1038/s41467-022-28754-2</t>
  </si>
  <si>
    <t>https://europepmc.org/articles/PMC10901741</t>
  </si>
  <si>
    <t>https://www.molgen.mpg.de/IMPRS/fac</t>
  </si>
  <si>
    <t>https://openalex.org/A5079622687</t>
  </si>
  <si>
    <t>https://orcid.org/0000-0003-1599-9454</t>
  </si>
  <si>
    <t>Uwe Ohler</t>
  </si>
  <si>
    <t>uwe.ohler@mdc-berlin.de</t>
  </si>
  <si>
    <t>Computational RNA biology and regulatory genomics</t>
  </si>
  <si>
    <t>Shortcomings of silhouette in single-cell integration benchmarking</t>
  </si>
  <si>
    <t>https://doi.org/10.1038/s41587-025-02743-4</t>
  </si>
  <si>
    <t>https://europepmc.org/articles/PMC12790989</t>
  </si>
  <si>
    <t>https://www.mdc-berlin.de/ohler</t>
  </si>
  <si>
    <t>https://openalex.org/A5000077668</t>
  </si>
  <si>
    <t>https://orcid.org/0000-0002-0881-3116</t>
  </si>
  <si>
    <t>Brian Luke</t>
  </si>
  <si>
    <t>lukebria@mail.nih.gov</t>
  </si>
  <si>
    <t>RNA-DNA hybrids and genome instability</t>
  </si>
  <si>
    <t>ageing and cancer</t>
  </si>
  <si>
    <t>Rad53 regulates RNase H1, which promotes DNA replication through sites of transcription-replication conflict</t>
  </si>
  <si>
    <t>https://doi.org/10.1016/j.celrep.2025.116565</t>
  </si>
  <si>
    <t>https://europepmc.org/articles/PMC12298294</t>
  </si>
  <si>
    <t>https://openalex.org/A5011375340</t>
  </si>
  <si>
    <t>https://orcid.org/0000-0002-1648-5511</t>
  </si>
  <si>
    <t>Frederick National Laboratory for Cancer Research</t>
  </si>
  <si>
    <t>Thomas Carell</t>
  </si>
  <si>
    <t>Ludwig Maximilian University of Munich</t>
  </si>
  <si>
    <t>当前机构需人工复核</t>
  </si>
  <si>
    <t>t.carell@lmu.de</t>
  </si>
  <si>
    <t>RNA modifications and chemical biology</t>
  </si>
  <si>
    <t>epitranscriptomics and diagnostics</t>
  </si>
  <si>
    <t>Structural and biochemical characterization of yeast Tcd enzymes installing the post-transcriptional modification ct6A in tRNA</t>
  </si>
  <si>
    <t>https://doi.org/10.1093/nar/gkag376</t>
  </si>
  <si>
    <t>https://europepmc.org/articles/PMC12830177</t>
  </si>
  <si>
    <t>https://openalex.org/A5026032684</t>
  </si>
  <si>
    <t>https://orcid.org/0000-0001-7898-2831</t>
  </si>
  <si>
    <t>Ruth Schmitz-Streit</t>
  </si>
  <si>
    <t>Kiel</t>
  </si>
  <si>
    <t>Kiel University</t>
  </si>
  <si>
    <t>未找到</t>
  </si>
  <si>
    <t>缺失</t>
  </si>
  <si>
    <t>Regulatory RNA in archaea and microbes</t>
  </si>
  <si>
    <t>microbial physiology and infection</t>
  </si>
  <si>
    <t>Inaccurate viral prediction leads to overestimated diversity of the archaeal virome in the human gut</t>
  </si>
  <si>
    <t>https://doi.org/10.1038/s41467-024-49902-w</t>
  </si>
  <si>
    <t>https://www.uni-kiel.de</t>
  </si>
  <si>
    <t>https://openalex.org/A5086005113</t>
  </si>
  <si>
    <t>https://orcid.org/0000-0002-6788-0829</t>
  </si>
  <si>
    <t>未找到公开邮箱</t>
  </si>
  <si>
    <t>Hochschule für Angewandte Wissenschaften Kiel | Christian-Albrechts-Universität zu Kiel</t>
  </si>
  <si>
    <t>临床转化优先（Top 50）</t>
  </si>
  <si>
    <t>优先疾病机制、患者样本、诊断标志物、RNA/寡核苷酸治疗、递送、病毒与免疫转化研究；按联系可用性与整体匹配度排序。</t>
  </si>
  <si>
    <t>总排名</t>
  </si>
  <si>
    <t>青年/新组机会（9 位）</t>
  </si>
  <si>
    <t>独立时间较短或官方资料明确标为Junior/Emmy Noether/新组长；通常课题参与空间更大，但经费与团队规模需要逐一确认。</t>
  </si>
  <si>
    <t>疾病方向</t>
  </si>
  <si>
    <t>官方/来源页面</t>
  </si>
  <si>
    <t>注意事项</t>
  </si>
  <si>
    <t>德国候选覆盖与分布</t>
  </si>
  <si>
    <t>统计来自最终合格候选；城市集中度可以帮助你结合生活成本、产业生态和合作网络规划申请批次。</t>
  </si>
  <si>
    <t>核心指标</t>
  </si>
  <si>
    <t>数量</t>
  </si>
  <si>
    <t>候选数</t>
  </si>
  <si>
    <t>占比</t>
  </si>
  <si>
    <t>最终德国候选</t>
  </si>
  <si>
    <t>有公开Email</t>
  </si>
  <si>
    <t>邮箱可信度中等或较高</t>
  </si>
  <si>
    <t>临床相关性高</t>
  </si>
  <si>
    <t>德国机构/官网证据</t>
  </si>
  <si>
    <t>RNA标题直接匹配</t>
  </si>
  <si>
    <t>说明、筛选标准与申请建议</t>
  </si>
  <si>
    <t>本表追求德国覆盖面，同时用证据和风险提示区分“可直接联系”与“需要进一步人工核验”的候选。</t>
  </si>
  <si>
    <t>项目</t>
  </si>
  <si>
    <t>说明</t>
  </si>
  <si>
    <t>候选范围</t>
  </si>
  <si>
    <t>从 129 位德国RNA相关独立PI/组长种子池中，保留 104 位有RNA相关代表作且所列期刊近期公开JIF&gt;5的候选。</t>
  </si>
  <si>
    <t>学术范围</t>
  </si>
  <si>
    <t>RNA生物学、剪接/加工、RNA修饰、非编码RNA、翻译/核糖体、RNA病毒与感染、RNA治疗/诊断、RNA结构化学，以及以RNA为核心的单细胞/空间转录组。</t>
  </si>
  <si>
    <t>临床优先</t>
  </si>
  <si>
    <t>标为高的方向通常涉及患者样本、疾病机制、诊断、RNA药物/递送、感染、免疫、癌症、心血管或神经退行疾病。基础机制组仍被纳入，但单独标注研究类型。</t>
  </si>
  <si>
    <t>影响力门槛</t>
  </si>
  <si>
    <t>每位候选至少附一篇相关代表作和JIF来源。JIF会逐年变化，因此这里把它作为用户指定的最低筛选门槛，而不是实验室质量的唯一判断。</t>
  </si>
  <si>
    <t>评分公式</t>
  </si>
  <si>
    <t>综合匹配分 = RNA匹配分×7 + 临床匹配分×7 + 联系可信分×10 + 证据质量分×5；明确的青年/新组机会在联系优先分中加5分并封顶100。</t>
  </si>
  <si>
    <t>邮箱来源</t>
  </si>
  <si>
    <t>高：机构官网或2025–26官方RNA名册；中：近期论文通讯邮箱且与PI姓氏匹配；低：疑似合作者邮箱。无论级别，正式发送前都应在最新实验室官网复核。</t>
  </si>
  <si>
    <t>机构状态</t>
  </si>
  <si>
    <t>优先使用OpenAlex最近机构国家与官方实验室/名册交叉验证。个别新近转岗者会出现数据库滞后，表中已明确标为需复核。</t>
  </si>
  <si>
    <t>青年新组</t>
  </si>
  <si>
    <t>青年/新组工作表只包含官方资料明确标为Junior Group Leader、Emmy Noether或新近独立的候选；这不是对年龄的判断。</t>
  </si>
  <si>
    <t>首轮策略</t>
  </si>
  <si>
    <t>先从临床优先表中按疾病方向选10–15位，再从青年新组表补5位；逐一阅读最近2–3篇论文、检查招聘页和经费，再发送定制邮件。</t>
  </si>
  <si>
    <t>检索来源</t>
  </si>
  <si>
    <t>OpenAlex、Europe PMC、期刊/出版方页面、机构实验室主页，以及Helmholtz HIRI 2025–26 Würzburg RNA Faculty官方名册。所有行保留可审计URL。</t>
  </si>
  <si>
    <t>检索日期</t>
  </si>
  <si>
    <t>2026-07-22（Europe/Berlin）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</si>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</sst>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0"/>
      <color rgb="FFFFFFFF"/>
      <name val="Carlito"/>
    </font>
    <font>
      <sz val="9"/>
      <color rgb="FF111827"/>
      <name val="Carlito"/>
    </font>
    <font>
      <sz val="9"/>
      <name val="Carlito"/>
    </font>
    <font>
      <b/>
      <sz val="11"/>
      <color rgb="FF17324D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F0FE"/>
      </patternFill>
    </fill>
    <fill>
      <patternFill patternType="solid">
        <fgColor rgb="FF0F766E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2563EB"/>
      </left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2563EB"/>
      </left>
      <right/>
      <top/>
      <bottom/>
      <diagonal/>
    </border>
    <border>
      <left/>
      <right style="thin">
        <color rgb="FF2563EB"/>
      </right>
      <top/>
      <bottom/>
      <diagonal/>
    </border>
    <border>
      <left style="thin">
        <color rgb="FF2563EB"/>
      </left>
      <right/>
      <top/>
      <bottom style="thin">
        <color rgb="FF2563EB"/>
      </bottom>
      <diagonal/>
    </border>
    <border>
      <left/>
      <right style="thin">
        <color rgb="FF2563EB"/>
      </right>
      <top/>
      <bottom style="thin">
        <color rgb="FF2563E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6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164" fontId="4" fillId="0" borderId="6" xfId="0" applyNumberFormat="1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center" vertical="top"/>
    </xf>
    <xf numFmtId="1" fontId="4" fillId="0" borderId="6" xfId="0" applyNumberFormat="1" applyFont="1" applyBorder="1" applyAlignment="1">
      <alignment horizontal="center" vertical="top"/>
    </xf>
    <xf numFmtId="1" fontId="4" fillId="0" borderId="9" xfId="0" applyNumberFormat="1" applyFont="1" applyBorder="1" applyAlignment="1">
      <alignment horizontal="center" vertical="top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6" fillId="3" borderId="11" xfId="0" applyFont="1" applyFill="1" applyBorder="1"/>
    <xf numFmtId="0" fontId="6" fillId="3" borderId="13" xfId="0" applyFont="1" applyFill="1" applyBorder="1"/>
    <xf numFmtId="0" fontId="6" fillId="3" borderId="15" xfId="0" applyFont="1" applyFill="1" applyBorder="1"/>
    <xf numFmtId="0" fontId="6" fillId="3" borderId="1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9" fontId="7" fillId="0" borderId="19" xfId="0" applyNumberFormat="1" applyFont="1" applyBorder="1"/>
    <xf numFmtId="0" fontId="7" fillId="0" borderId="20" xfId="0" applyFont="1" applyBorder="1"/>
    <xf numFmtId="0" fontId="7" fillId="0" borderId="1" xfId="0" applyFont="1" applyBorder="1"/>
    <xf numFmtId="9" fontId="7" fillId="0" borderId="21" xfId="0" applyNumberFormat="1" applyFont="1" applyBorder="1"/>
    <xf numFmtId="0" fontId="7" fillId="0" borderId="22" xfId="0" applyFont="1" applyBorder="1"/>
    <xf numFmtId="0" fontId="7" fillId="0" borderId="23" xfId="0" applyFont="1" applyBorder="1"/>
    <xf numFmtId="9" fontId="7" fillId="0" borderId="24" xfId="0" applyNumberFormat="1" applyFont="1" applyBorder="1"/>
    <xf numFmtId="0" fontId="7" fillId="0" borderId="19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19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6" fillId="3" borderId="17" xfId="0" applyFont="1" applyFill="1" applyBorder="1" applyAlignment="1">
      <alignment vertical="top" wrapText="1"/>
    </xf>
    <xf numFmtId="0" fontId="6" fillId="3" borderId="20" xfId="0" applyFont="1" applyFill="1" applyBorder="1" applyAlignment="1">
      <alignment vertical="top" wrapText="1"/>
    </xf>
    <xf numFmtId="0" fontId="6" fillId="3" borderId="22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4" fillId="5" borderId="2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horizontal="center" vertical="top"/>
    </xf>
    <xf numFmtId="0" fontId="4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center" vertical="top" wrapText="1"/>
    </xf>
    <xf numFmtId="1" fontId="4" fillId="5" borderId="3" xfId="0" applyNumberFormat="1" applyFont="1" applyFill="1" applyBorder="1" applyAlignment="1">
      <alignment horizontal="center" vertical="top"/>
    </xf>
    <xf numFmtId="164" fontId="4" fillId="5" borderId="3" xfId="0" applyNumberFormat="1" applyFont="1" applyFill="1" applyBorder="1" applyAlignment="1">
      <alignment horizontal="center" vertical="top"/>
    </xf>
    <xf numFmtId="0" fontId="4" fillId="5" borderId="4" xfId="0" applyFont="1" applyFill="1" applyBorder="1" applyAlignment="1">
      <alignment vertical="top" wrapText="1"/>
    </xf>
    <xf numFmtId="0" fontId="0" fillId="5" borderId="0" xfId="0" applyFill="1"/>
    <xf numFmtId="0" fontId="4" fillId="5" borderId="5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vertical="top"/>
    </xf>
    <xf numFmtId="0" fontId="4" fillId="5" borderId="6" xfId="0" applyFont="1" applyFill="1" applyBorder="1" applyAlignment="1">
      <alignment vertical="top" wrapText="1"/>
    </xf>
    <xf numFmtId="0" fontId="4" fillId="5" borderId="6" xfId="0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top"/>
    </xf>
    <xf numFmtId="164" fontId="4" fillId="5" borderId="6" xfId="0" applyNumberFormat="1" applyFont="1" applyFill="1" applyBorder="1" applyAlignment="1">
      <alignment horizontal="center" vertical="top"/>
    </xf>
    <xf numFmtId="0" fontId="4" fillId="5" borderId="7" xfId="0" applyFont="1" applyFill="1" applyBorder="1" applyAlignment="1">
      <alignment vertical="top" wrapText="1"/>
    </xf>
    <xf numFmtId="0" fontId="5" fillId="5" borderId="5" xfId="0" applyFont="1" applyFill="1" applyBorder="1" applyAlignment="1">
      <alignment horizontal="center"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7324D"/>
      </font>
      <fill>
        <patternFill patternType="solid">
          <bgColor rgb="FFE8F0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ermanyCandidatesTable" displayName="GermanyCandidatesTable" ref="A4:AG108" totalsRowShown="0">
  <tableColumns count="33">
    <tableColumn id="1" xr3:uid="{00000000-0010-0000-0000-000001000000}" name="排名"/>
    <tableColumn id="2" xr3:uid="{00000000-0010-0000-0000-000002000000}" name="优先级"/>
    <tableColumn id="3" xr3:uid="{00000000-0010-0000-0000-000003000000}" name="PI姓名"/>
    <tableColumn id="4" xr3:uid="{00000000-0010-0000-0000-000004000000}" name="城市"/>
    <tableColumn id="5" xr3:uid="{00000000-0010-0000-0000-000005000000}" name="机构"/>
    <tableColumn id="6" xr3:uid="{00000000-0010-0000-0000-000006000000}" name="当前职位/机构状态"/>
    <tableColumn id="7" xr3:uid="{00000000-0010-0000-0000-000007000000}" name="生涯阶段"/>
    <tableColumn id="8" xr3:uid="{00000000-0010-0000-0000-000008000000}" name="研究类型"/>
    <tableColumn id="9" xr3:uid="{00000000-0010-0000-0000-000009000000}" name="公开Email"/>
    <tableColumn id="10" xr3:uid="{00000000-0010-0000-0000-00000A000000}" name="邮箱可信度"/>
    <tableColumn id="11" xr3:uid="{00000000-0010-0000-0000-00000B000000}" name="邮箱来源年份"/>
    <tableColumn id="12" xr3:uid="{00000000-0010-0000-0000-00000C000000}" name="RNA专注领域"/>
    <tableColumn id="13" xr3:uid="{00000000-0010-0000-0000-00000D000000}" name="疾病/临床方向"/>
    <tableColumn id="14" xr3:uid="{00000000-0010-0000-0000-00000E000000}" name="临床相关性"/>
    <tableColumn id="15" xr3:uid="{00000000-0010-0000-0000-00000F000000}" name="RNA匹配分"/>
    <tableColumn id="16" xr3:uid="{00000000-0010-0000-0000-000010000000}" name="临床匹配分"/>
    <tableColumn id="17" xr3:uid="{00000000-0010-0000-0000-000011000000}" name="联系可信分"/>
    <tableColumn id="18" xr3:uid="{00000000-0010-0000-0000-000012000000}" name="证据质量分"/>
    <tableColumn id="19" xr3:uid="{00000000-0010-0000-0000-000013000000}" name="综合匹配分"/>
    <tableColumn id="20" xr3:uid="{00000000-0010-0000-0000-000014000000}" name="联系优先分"/>
    <tableColumn id="21" xr3:uid="{00000000-0010-0000-0000-000015000000}" name="代表性论文"/>
    <tableColumn id="22" xr3:uid="{00000000-0010-0000-0000-000016000000}" name="期刊"/>
    <tableColumn id="23" xr3:uid="{00000000-0010-0000-0000-000017000000}" name="发表年份"/>
    <tableColumn id="24" xr3:uid="{00000000-0010-0000-0000-000018000000}" name="JIF"/>
    <tableColumn id="25" xr3:uid="{00000000-0010-0000-0000-000019000000}" name="JIF年份"/>
    <tableColumn id="26" xr3:uid="{00000000-0010-0000-0000-00001A000000}" name="论文/DOI"/>
    <tableColumn id="27" xr3:uid="{00000000-0010-0000-0000-00001B000000}" name="JIF来源"/>
    <tableColumn id="28" xr3:uid="{00000000-0010-0000-0000-00001C000000}" name="Email来源"/>
    <tableColumn id="29" xr3:uid="{00000000-0010-0000-0000-00001D000000}" name="实验室/官方页面"/>
    <tableColumn id="30" xr3:uid="{00000000-0010-0000-0000-00001E000000}" name="OpenAlex"/>
    <tableColumn id="31" xr3:uid="{00000000-0010-0000-0000-00001F000000}" name="ORCID"/>
    <tableColumn id="32" xr3:uid="{00000000-0010-0000-0000-000020000000}" name="复核提示"/>
    <tableColumn id="33" xr3:uid="{00000000-0010-0000-0000-000021000000}" name="OpenAlex机构列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nicalPriorityTable" displayName="ClinicalPriorityTable" ref="A4:L54" totalsRowShown="0">
  <tableColumns count="12">
    <tableColumn id="1" xr3:uid="{00000000-0010-0000-0100-000001000000}" name="总排名"/>
    <tableColumn id="2" xr3:uid="{00000000-0010-0000-0100-000002000000}" name="PI姓名"/>
    <tableColumn id="3" xr3:uid="{00000000-0010-0000-0100-000003000000}" name="城市"/>
    <tableColumn id="4" xr3:uid="{00000000-0010-0000-0100-000004000000}" name="机构"/>
    <tableColumn id="5" xr3:uid="{00000000-0010-0000-0100-000005000000}" name="公开Email"/>
    <tableColumn id="6" xr3:uid="{00000000-0010-0000-0100-000006000000}" name="邮箱可信度"/>
    <tableColumn id="7" xr3:uid="{00000000-0010-0000-0100-000007000000}" name="研究类型"/>
    <tableColumn id="8" xr3:uid="{00000000-0010-0000-0100-000008000000}" name="RNA专注领域"/>
    <tableColumn id="9" xr3:uid="{00000000-0010-0000-0100-000009000000}" name="疾病/临床方向"/>
    <tableColumn id="10" xr3:uid="{00000000-0010-0000-0100-00000A000000}" name="联系优先分"/>
    <tableColumn id="11" xr3:uid="{00000000-0010-0000-0100-00000B000000}" name="代表性论文"/>
    <tableColumn id="12" xr3:uid="{00000000-0010-0000-0100-00000C000000}" name="复核提示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uniorGroupsTable" displayName="JuniorGroupsTable" ref="A4:K13" totalsRowShown="0">
  <tableColumns count="11">
    <tableColumn id="1" xr3:uid="{00000000-0010-0000-0200-000001000000}" name="总排名"/>
    <tableColumn id="2" xr3:uid="{00000000-0010-0000-0200-000002000000}" name="PI姓名"/>
    <tableColumn id="3" xr3:uid="{00000000-0010-0000-0200-000003000000}" name="城市"/>
    <tableColumn id="4" xr3:uid="{00000000-0010-0000-0200-000004000000}" name="机构"/>
    <tableColumn id="5" xr3:uid="{00000000-0010-0000-0200-000005000000}" name="公开Email"/>
    <tableColumn id="6" xr3:uid="{00000000-0010-0000-0200-000006000000}" name="RNA专注领域"/>
    <tableColumn id="7" xr3:uid="{00000000-0010-0000-0200-000007000000}" name="疾病方向"/>
    <tableColumn id="8" xr3:uid="{00000000-0010-0000-0200-000008000000}" name="联系优先分"/>
    <tableColumn id="9" xr3:uid="{00000000-0010-0000-0200-000009000000}" name="代表性论文"/>
    <tableColumn id="10" xr3:uid="{00000000-0010-0000-0200-00000A000000}" name="官方/来源页面"/>
    <tableColumn id="11" xr3:uid="{00000000-0010-0000-0200-00000B000000}" name="注意事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8"/>
  <sheetViews>
    <sheetView showGridLines="0" workbookViewId="0">
      <selection activeCell="A9" sqref="A9:XFD9"/>
    </sheetView>
  </sheetViews>
  <sheetFormatPr baseColWidth="10" defaultColWidth="8.83203125" defaultRowHeight="15"/>
  <cols>
    <col min="1" max="1" width="7" customWidth="1"/>
    <col min="2" max="2" width="14" customWidth="1"/>
    <col min="3" max="3" width="22" customWidth="1"/>
    <col min="4" max="4" width="13" customWidth="1"/>
    <col min="5" max="5" width="32" customWidth="1"/>
    <col min="6" max="6" width="28" customWidth="1"/>
    <col min="7" max="7" width="16" customWidth="1"/>
    <col min="8" max="8" width="18" customWidth="1"/>
    <col min="9" max="9" width="30" customWidth="1"/>
    <col min="10" max="10" width="24" customWidth="1"/>
    <col min="11" max="11" width="12" customWidth="1"/>
    <col min="12" max="12" width="36" customWidth="1"/>
    <col min="13" max="13" width="30" customWidth="1"/>
    <col min="14" max="18" width="10" customWidth="1"/>
    <col min="19" max="20" width="11" customWidth="1"/>
    <col min="21" max="21" width="50" customWidth="1"/>
    <col min="22" max="22" width="25" customWidth="1"/>
    <col min="23" max="23" width="10" customWidth="1"/>
    <col min="24" max="24" width="8" customWidth="1"/>
    <col min="25" max="25" width="9" customWidth="1"/>
    <col min="26" max="29" width="38" customWidth="1"/>
    <col min="30" max="30" width="31" customWidth="1"/>
    <col min="31" max="31" width="30" customWidth="1"/>
    <col min="32" max="33" width="48" customWidth="1"/>
  </cols>
  <sheetData>
    <row r="1" spans="1:33" ht="32" customHeigh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33" ht="30" customHeight="1">
      <c r="A2" s="56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4" spans="1:33" ht="3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</row>
    <row r="5" spans="1:33" s="65" customFormat="1" ht="39">
      <c r="A5" s="57">
        <v>1</v>
      </c>
      <c r="B5" s="58" t="str">
        <f t="shared" ref="B5:B36" si="0">IF(T5&gt;=95,"A-优先联系",IF(T5&gt;=85,"B-重点关注","C-补充候选"))</f>
        <v>A-优先联系</v>
      </c>
      <c r="C5" s="59" t="s">
        <v>35</v>
      </c>
      <c r="D5" s="58" t="s">
        <v>36</v>
      </c>
      <c r="E5" s="60" t="s">
        <v>37</v>
      </c>
      <c r="F5" s="61" t="s">
        <v>38</v>
      </c>
      <c r="G5" s="61" t="s">
        <v>39</v>
      </c>
      <c r="H5" s="61" t="s">
        <v>40</v>
      </c>
      <c r="I5" s="58" t="s">
        <v>41</v>
      </c>
      <c r="J5" s="58" t="s">
        <v>42</v>
      </c>
      <c r="K5" s="58">
        <v>2026</v>
      </c>
      <c r="L5" s="60" t="s">
        <v>43</v>
      </c>
      <c r="M5" s="60" t="s">
        <v>44</v>
      </c>
      <c r="N5" s="61" t="s">
        <v>45</v>
      </c>
      <c r="O5" s="62">
        <v>5</v>
      </c>
      <c r="P5" s="62">
        <v>5</v>
      </c>
      <c r="Q5" s="62">
        <v>2</v>
      </c>
      <c r="R5" s="62">
        <v>2</v>
      </c>
      <c r="S5" s="62">
        <f t="shared" ref="S5:S36" si="1">O5*7+P5*7+Q5*10+R5*5</f>
        <v>100</v>
      </c>
      <c r="T5" s="62">
        <f t="shared" ref="T5:T36" si="2">MIN(100,S5+IF(G5="青年/新组机会",5,0))</f>
        <v>100</v>
      </c>
      <c r="U5" s="60" t="s">
        <v>46</v>
      </c>
      <c r="V5" s="59" t="s">
        <v>47</v>
      </c>
      <c r="W5" s="58">
        <v>2026</v>
      </c>
      <c r="X5" s="63">
        <v>11.7</v>
      </c>
      <c r="Y5" s="58">
        <v>2024</v>
      </c>
      <c r="Z5" s="59" t="s">
        <v>48</v>
      </c>
      <c r="AA5" s="59" t="s">
        <v>49</v>
      </c>
      <c r="AB5" s="59" t="s">
        <v>50</v>
      </c>
      <c r="AC5" s="59" t="s">
        <v>50</v>
      </c>
      <c r="AD5" s="59" t="s">
        <v>51</v>
      </c>
      <c r="AE5" s="59" t="s">
        <v>52</v>
      </c>
      <c r="AF5" s="60" t="s">
        <v>53</v>
      </c>
      <c r="AG5" s="64" t="s">
        <v>54</v>
      </c>
    </row>
    <row r="6" spans="1:33" ht="26">
      <c r="A6" s="8">
        <v>2</v>
      </c>
      <c r="B6" s="9" t="str">
        <f t="shared" si="0"/>
        <v>A-优先联系</v>
      </c>
      <c r="C6" s="2" t="s">
        <v>55</v>
      </c>
      <c r="D6" s="9" t="s">
        <v>36</v>
      </c>
      <c r="E6" s="4" t="s">
        <v>56</v>
      </c>
      <c r="F6" s="12" t="s">
        <v>38</v>
      </c>
      <c r="G6" s="12" t="s">
        <v>57</v>
      </c>
      <c r="H6" s="12" t="s">
        <v>40</v>
      </c>
      <c r="I6" s="9" t="s">
        <v>58</v>
      </c>
      <c r="J6" s="9" t="s">
        <v>42</v>
      </c>
      <c r="K6" s="9">
        <v>2026</v>
      </c>
      <c r="L6" s="4" t="s">
        <v>59</v>
      </c>
      <c r="M6" s="4" t="s">
        <v>60</v>
      </c>
      <c r="N6" s="12" t="s">
        <v>45</v>
      </c>
      <c r="O6" s="16">
        <v>5</v>
      </c>
      <c r="P6" s="16">
        <v>5</v>
      </c>
      <c r="Q6" s="16">
        <v>2</v>
      </c>
      <c r="R6" s="16">
        <v>2</v>
      </c>
      <c r="S6" s="16">
        <f t="shared" si="1"/>
        <v>100</v>
      </c>
      <c r="T6" s="16">
        <f t="shared" si="2"/>
        <v>100</v>
      </c>
      <c r="U6" s="4" t="s">
        <v>61</v>
      </c>
      <c r="V6" s="2" t="s">
        <v>62</v>
      </c>
      <c r="W6" s="9">
        <v>2021</v>
      </c>
      <c r="X6" s="14">
        <v>18.100000000000001</v>
      </c>
      <c r="Y6" s="9">
        <v>2025</v>
      </c>
      <c r="Z6" s="2" t="s">
        <v>63</v>
      </c>
      <c r="AA6" s="2" t="s">
        <v>64</v>
      </c>
      <c r="AB6" s="2" t="s">
        <v>50</v>
      </c>
      <c r="AC6" s="2" t="s">
        <v>50</v>
      </c>
      <c r="AD6" s="2" t="s">
        <v>65</v>
      </c>
      <c r="AE6" s="2" t="s">
        <v>66</v>
      </c>
      <c r="AF6" s="4" t="s">
        <v>53</v>
      </c>
      <c r="AG6" s="6" t="s">
        <v>67</v>
      </c>
    </row>
    <row r="7" spans="1:33" ht="26">
      <c r="A7" s="8">
        <v>3</v>
      </c>
      <c r="B7" s="9" t="str">
        <f t="shared" si="0"/>
        <v>A-优先联系</v>
      </c>
      <c r="C7" s="2" t="s">
        <v>68</v>
      </c>
      <c r="D7" s="9" t="s">
        <v>36</v>
      </c>
      <c r="E7" s="4" t="s">
        <v>56</v>
      </c>
      <c r="F7" s="12" t="s">
        <v>38</v>
      </c>
      <c r="G7" s="12" t="s">
        <v>57</v>
      </c>
      <c r="H7" s="12" t="s">
        <v>69</v>
      </c>
      <c r="I7" s="9" t="s">
        <v>70</v>
      </c>
      <c r="J7" s="9" t="s">
        <v>42</v>
      </c>
      <c r="K7" s="9">
        <v>2026</v>
      </c>
      <c r="L7" s="4" t="s">
        <v>71</v>
      </c>
      <c r="M7" s="4" t="s">
        <v>72</v>
      </c>
      <c r="N7" s="12" t="s">
        <v>45</v>
      </c>
      <c r="O7" s="16">
        <v>5</v>
      </c>
      <c r="P7" s="16">
        <v>5</v>
      </c>
      <c r="Q7" s="16">
        <v>2</v>
      </c>
      <c r="R7" s="16">
        <v>2</v>
      </c>
      <c r="S7" s="16">
        <f t="shared" si="1"/>
        <v>100</v>
      </c>
      <c r="T7" s="16">
        <f t="shared" si="2"/>
        <v>100</v>
      </c>
      <c r="U7" s="4" t="s">
        <v>73</v>
      </c>
      <c r="V7" s="2" t="s">
        <v>74</v>
      </c>
      <c r="W7" s="9">
        <v>2024</v>
      </c>
      <c r="X7" s="14">
        <v>16</v>
      </c>
      <c r="Y7" s="9">
        <v>2024</v>
      </c>
      <c r="Z7" s="2" t="s">
        <v>75</v>
      </c>
      <c r="AA7" s="2" t="s">
        <v>76</v>
      </c>
      <c r="AB7" s="2" t="s">
        <v>50</v>
      </c>
      <c r="AC7" s="2" t="s">
        <v>50</v>
      </c>
      <c r="AD7" s="2" t="s">
        <v>77</v>
      </c>
      <c r="AE7" s="2" t="s">
        <v>78</v>
      </c>
      <c r="AF7" s="4" t="s">
        <v>53</v>
      </c>
      <c r="AG7" s="6" t="s">
        <v>79</v>
      </c>
    </row>
    <row r="8" spans="1:33" ht="26">
      <c r="A8" s="8">
        <v>4</v>
      </c>
      <c r="B8" s="9" t="str">
        <f t="shared" si="0"/>
        <v>A-优先联系</v>
      </c>
      <c r="C8" s="2" t="s">
        <v>80</v>
      </c>
      <c r="D8" s="9" t="s">
        <v>36</v>
      </c>
      <c r="E8" s="4" t="s">
        <v>56</v>
      </c>
      <c r="F8" s="12" t="s">
        <v>38</v>
      </c>
      <c r="G8" s="12" t="s">
        <v>39</v>
      </c>
      <c r="H8" s="12" t="s">
        <v>81</v>
      </c>
      <c r="I8" s="9" t="s">
        <v>82</v>
      </c>
      <c r="J8" s="9" t="s">
        <v>42</v>
      </c>
      <c r="K8" s="9">
        <v>2026</v>
      </c>
      <c r="L8" s="4" t="s">
        <v>83</v>
      </c>
      <c r="M8" s="4" t="s">
        <v>84</v>
      </c>
      <c r="N8" s="12" t="s">
        <v>45</v>
      </c>
      <c r="O8" s="16">
        <v>5</v>
      </c>
      <c r="P8" s="16">
        <v>5</v>
      </c>
      <c r="Q8" s="16">
        <v>2</v>
      </c>
      <c r="R8" s="16">
        <v>2</v>
      </c>
      <c r="S8" s="16">
        <f t="shared" si="1"/>
        <v>100</v>
      </c>
      <c r="T8" s="16">
        <f t="shared" si="2"/>
        <v>100</v>
      </c>
      <c r="U8" s="4" t="s">
        <v>85</v>
      </c>
      <c r="V8" s="2" t="s">
        <v>86</v>
      </c>
      <c r="W8" s="9">
        <v>2019</v>
      </c>
      <c r="X8" s="14">
        <v>26.8</v>
      </c>
      <c r="Y8" s="9">
        <v>2024</v>
      </c>
      <c r="Z8" s="2" t="s">
        <v>87</v>
      </c>
      <c r="AA8" s="2" t="s">
        <v>88</v>
      </c>
      <c r="AB8" s="2" t="s">
        <v>50</v>
      </c>
      <c r="AC8" s="2" t="s">
        <v>50</v>
      </c>
      <c r="AD8" s="2" t="s">
        <v>89</v>
      </c>
      <c r="AE8" s="2"/>
      <c r="AF8" s="4" t="s">
        <v>90</v>
      </c>
      <c r="AG8" s="6" t="s">
        <v>91</v>
      </c>
    </row>
    <row r="9" spans="1:33" s="65" customFormat="1" ht="52">
      <c r="A9" s="66" t="s">
        <v>1257</v>
      </c>
      <c r="B9" s="67" t="str">
        <f t="shared" si="0"/>
        <v>A-优先联系</v>
      </c>
      <c r="C9" s="68" t="s">
        <v>92</v>
      </c>
      <c r="D9" s="67" t="s">
        <v>36</v>
      </c>
      <c r="E9" s="69" t="s">
        <v>93</v>
      </c>
      <c r="F9" s="70" t="s">
        <v>38</v>
      </c>
      <c r="G9" s="70" t="s">
        <v>39</v>
      </c>
      <c r="H9" s="70" t="s">
        <v>40</v>
      </c>
      <c r="I9" s="67" t="s">
        <v>94</v>
      </c>
      <c r="J9" s="67" t="s">
        <v>42</v>
      </c>
      <c r="K9" s="67">
        <v>2026</v>
      </c>
      <c r="L9" s="69" t="s">
        <v>95</v>
      </c>
      <c r="M9" s="69" t="s">
        <v>96</v>
      </c>
      <c r="N9" s="70" t="s">
        <v>45</v>
      </c>
      <c r="O9" s="71">
        <v>5</v>
      </c>
      <c r="P9" s="71">
        <v>5</v>
      </c>
      <c r="Q9" s="71">
        <v>2</v>
      </c>
      <c r="R9" s="71">
        <v>2</v>
      </c>
      <c r="S9" s="71">
        <f t="shared" si="1"/>
        <v>100</v>
      </c>
      <c r="T9" s="71">
        <f t="shared" si="2"/>
        <v>100</v>
      </c>
      <c r="U9" s="69" t="s">
        <v>97</v>
      </c>
      <c r="V9" s="68" t="s">
        <v>62</v>
      </c>
      <c r="W9" s="67">
        <v>2025</v>
      </c>
      <c r="X9" s="72">
        <v>18.100000000000001</v>
      </c>
      <c r="Y9" s="67">
        <v>2025</v>
      </c>
      <c r="Z9" s="68" t="s">
        <v>98</v>
      </c>
      <c r="AA9" s="68" t="s">
        <v>64</v>
      </c>
      <c r="AB9" s="68" t="s">
        <v>50</v>
      </c>
      <c r="AC9" s="68" t="s">
        <v>50</v>
      </c>
      <c r="AD9" s="68" t="s">
        <v>99</v>
      </c>
      <c r="AE9" s="68" t="s">
        <v>100</v>
      </c>
      <c r="AF9" s="69" t="s">
        <v>53</v>
      </c>
      <c r="AG9" s="73" t="s">
        <v>101</v>
      </c>
    </row>
    <row r="10" spans="1:33" ht="78">
      <c r="A10" s="8">
        <v>6</v>
      </c>
      <c r="B10" s="9" t="str">
        <f t="shared" si="0"/>
        <v>A-优先联系</v>
      </c>
      <c r="C10" s="2" t="s">
        <v>102</v>
      </c>
      <c r="D10" s="9" t="s">
        <v>103</v>
      </c>
      <c r="E10" s="4" t="s">
        <v>104</v>
      </c>
      <c r="F10" s="12" t="s">
        <v>38</v>
      </c>
      <c r="G10" s="12" t="s">
        <v>57</v>
      </c>
      <c r="H10" s="12" t="s">
        <v>69</v>
      </c>
      <c r="I10" s="9" t="s">
        <v>105</v>
      </c>
      <c r="J10" s="9" t="s">
        <v>42</v>
      </c>
      <c r="K10" s="9">
        <v>2026</v>
      </c>
      <c r="L10" s="4" t="s">
        <v>106</v>
      </c>
      <c r="M10" s="4" t="s">
        <v>107</v>
      </c>
      <c r="N10" s="12" t="s">
        <v>45</v>
      </c>
      <c r="O10" s="16">
        <v>5</v>
      </c>
      <c r="P10" s="16">
        <v>5</v>
      </c>
      <c r="Q10" s="16">
        <v>2</v>
      </c>
      <c r="R10" s="16">
        <v>2</v>
      </c>
      <c r="S10" s="16">
        <f t="shared" si="1"/>
        <v>100</v>
      </c>
      <c r="T10" s="16">
        <f t="shared" si="2"/>
        <v>100</v>
      </c>
      <c r="U10" s="4" t="s">
        <v>108</v>
      </c>
      <c r="V10" s="2" t="s">
        <v>109</v>
      </c>
      <c r="W10" s="9">
        <v>2023</v>
      </c>
      <c r="X10" s="14">
        <v>48.5</v>
      </c>
      <c r="Y10" s="9">
        <v>2024</v>
      </c>
      <c r="Z10" s="2" t="s">
        <v>110</v>
      </c>
      <c r="AA10" s="2" t="s">
        <v>111</v>
      </c>
      <c r="AB10" s="2" t="s">
        <v>112</v>
      </c>
      <c r="AC10" s="2" t="s">
        <v>112</v>
      </c>
      <c r="AD10" s="2" t="s">
        <v>113</v>
      </c>
      <c r="AE10" s="2" t="s">
        <v>114</v>
      </c>
      <c r="AF10" s="4" t="s">
        <v>53</v>
      </c>
      <c r="AG10" s="6" t="s">
        <v>115</v>
      </c>
    </row>
    <row r="11" spans="1:33" ht="26">
      <c r="A11" s="8">
        <v>7</v>
      </c>
      <c r="B11" s="9" t="str">
        <f t="shared" si="0"/>
        <v>A-优先联系</v>
      </c>
      <c r="C11" s="2" t="s">
        <v>116</v>
      </c>
      <c r="D11" s="9" t="s">
        <v>103</v>
      </c>
      <c r="E11" s="4" t="s">
        <v>104</v>
      </c>
      <c r="F11" s="12" t="s">
        <v>38</v>
      </c>
      <c r="G11" s="12" t="s">
        <v>39</v>
      </c>
      <c r="H11" s="12" t="s">
        <v>69</v>
      </c>
      <c r="I11" s="9" t="s">
        <v>117</v>
      </c>
      <c r="J11" s="9" t="s">
        <v>42</v>
      </c>
      <c r="K11" s="9">
        <v>2026</v>
      </c>
      <c r="L11" s="4" t="s">
        <v>118</v>
      </c>
      <c r="M11" s="4" t="s">
        <v>119</v>
      </c>
      <c r="N11" s="12" t="s">
        <v>45</v>
      </c>
      <c r="O11" s="16">
        <v>5</v>
      </c>
      <c r="P11" s="16">
        <v>5</v>
      </c>
      <c r="Q11" s="16">
        <v>2</v>
      </c>
      <c r="R11" s="16">
        <v>2</v>
      </c>
      <c r="S11" s="16">
        <f t="shared" si="1"/>
        <v>100</v>
      </c>
      <c r="T11" s="16">
        <f t="shared" si="2"/>
        <v>100</v>
      </c>
      <c r="U11" s="4" t="s">
        <v>120</v>
      </c>
      <c r="V11" s="2" t="s">
        <v>121</v>
      </c>
      <c r="W11" s="9">
        <v>2025</v>
      </c>
      <c r="X11" s="14">
        <v>42.5</v>
      </c>
      <c r="Y11" s="9">
        <v>2024</v>
      </c>
      <c r="Z11" s="2" t="s">
        <v>122</v>
      </c>
      <c r="AA11" s="2" t="s">
        <v>123</v>
      </c>
      <c r="AB11" s="2" t="s">
        <v>124</v>
      </c>
      <c r="AC11" s="2" t="s">
        <v>124</v>
      </c>
      <c r="AD11" s="2" t="s">
        <v>125</v>
      </c>
      <c r="AE11" s="2" t="s">
        <v>126</v>
      </c>
      <c r="AF11" s="4" t="s">
        <v>53</v>
      </c>
      <c r="AG11" s="6" t="s">
        <v>127</v>
      </c>
    </row>
    <row r="12" spans="1:33" ht="26">
      <c r="A12" s="8">
        <v>8</v>
      </c>
      <c r="B12" s="9" t="str">
        <f t="shared" si="0"/>
        <v>A-优先联系</v>
      </c>
      <c r="C12" s="2" t="s">
        <v>128</v>
      </c>
      <c r="D12" s="9" t="s">
        <v>36</v>
      </c>
      <c r="E12" s="4" t="s">
        <v>56</v>
      </c>
      <c r="F12" s="12" t="s">
        <v>38</v>
      </c>
      <c r="G12" s="12" t="s">
        <v>39</v>
      </c>
      <c r="H12" s="12" t="s">
        <v>81</v>
      </c>
      <c r="I12" s="9" t="s">
        <v>129</v>
      </c>
      <c r="J12" s="9" t="s">
        <v>42</v>
      </c>
      <c r="K12" s="9">
        <v>2026</v>
      </c>
      <c r="L12" s="4" t="s">
        <v>130</v>
      </c>
      <c r="M12" s="4" t="s">
        <v>131</v>
      </c>
      <c r="N12" s="12" t="s">
        <v>45</v>
      </c>
      <c r="O12" s="16">
        <v>5</v>
      </c>
      <c r="P12" s="16">
        <v>5</v>
      </c>
      <c r="Q12" s="16">
        <v>2</v>
      </c>
      <c r="R12" s="16">
        <v>2</v>
      </c>
      <c r="S12" s="16">
        <f t="shared" si="1"/>
        <v>100</v>
      </c>
      <c r="T12" s="16">
        <f t="shared" si="2"/>
        <v>100</v>
      </c>
      <c r="U12" s="4" t="s">
        <v>132</v>
      </c>
      <c r="V12" s="2" t="s">
        <v>62</v>
      </c>
      <c r="W12" s="9">
        <v>2025</v>
      </c>
      <c r="X12" s="14">
        <v>18.100000000000001</v>
      </c>
      <c r="Y12" s="9">
        <v>2025</v>
      </c>
      <c r="Z12" s="2" t="s">
        <v>133</v>
      </c>
      <c r="AA12" s="2" t="s">
        <v>64</v>
      </c>
      <c r="AB12" s="2" t="s">
        <v>50</v>
      </c>
      <c r="AC12" s="2" t="s">
        <v>50</v>
      </c>
      <c r="AD12" s="2" t="s">
        <v>134</v>
      </c>
      <c r="AE12" s="2" t="s">
        <v>135</v>
      </c>
      <c r="AF12" s="4" t="s">
        <v>53</v>
      </c>
      <c r="AG12" s="6" t="s">
        <v>136</v>
      </c>
    </row>
    <row r="13" spans="1:33" ht="26">
      <c r="A13" s="8">
        <v>9</v>
      </c>
      <c r="B13" s="9" t="str">
        <f t="shared" si="0"/>
        <v>A-优先联系</v>
      </c>
      <c r="C13" s="2" t="s">
        <v>137</v>
      </c>
      <c r="D13" s="9" t="s">
        <v>36</v>
      </c>
      <c r="E13" s="4" t="s">
        <v>56</v>
      </c>
      <c r="F13" s="12" t="s">
        <v>38</v>
      </c>
      <c r="G13" s="12" t="s">
        <v>39</v>
      </c>
      <c r="H13" s="12" t="s">
        <v>138</v>
      </c>
      <c r="I13" s="9" t="s">
        <v>139</v>
      </c>
      <c r="J13" s="9" t="s">
        <v>42</v>
      </c>
      <c r="K13" s="9">
        <v>2026</v>
      </c>
      <c r="L13" s="4" t="s">
        <v>140</v>
      </c>
      <c r="M13" s="4" t="s">
        <v>141</v>
      </c>
      <c r="N13" s="12" t="s">
        <v>45</v>
      </c>
      <c r="O13" s="16">
        <v>5</v>
      </c>
      <c r="P13" s="16">
        <v>5</v>
      </c>
      <c r="Q13" s="16">
        <v>2</v>
      </c>
      <c r="R13" s="16">
        <v>2</v>
      </c>
      <c r="S13" s="16">
        <f t="shared" si="1"/>
        <v>100</v>
      </c>
      <c r="T13" s="16">
        <f t="shared" si="2"/>
        <v>100</v>
      </c>
      <c r="U13" s="4" t="s">
        <v>142</v>
      </c>
      <c r="V13" s="2" t="s">
        <v>62</v>
      </c>
      <c r="W13" s="9">
        <v>2017</v>
      </c>
      <c r="X13" s="14">
        <v>18.100000000000001</v>
      </c>
      <c r="Y13" s="9">
        <v>2025</v>
      </c>
      <c r="Z13" s="2" t="s">
        <v>143</v>
      </c>
      <c r="AA13" s="2" t="s">
        <v>64</v>
      </c>
      <c r="AB13" s="2" t="s">
        <v>50</v>
      </c>
      <c r="AC13" s="2" t="s">
        <v>50</v>
      </c>
      <c r="AD13" s="2" t="s">
        <v>144</v>
      </c>
      <c r="AE13" s="2" t="s">
        <v>145</v>
      </c>
      <c r="AF13" s="4" t="s">
        <v>90</v>
      </c>
      <c r="AG13" s="6" t="s">
        <v>146</v>
      </c>
    </row>
    <row r="14" spans="1:33" ht="39">
      <c r="A14" s="8">
        <v>10</v>
      </c>
      <c r="B14" s="9" t="str">
        <f t="shared" si="0"/>
        <v>A-优先联系</v>
      </c>
      <c r="C14" s="2" t="s">
        <v>147</v>
      </c>
      <c r="D14" s="9" t="s">
        <v>148</v>
      </c>
      <c r="E14" s="4" t="s">
        <v>149</v>
      </c>
      <c r="F14" s="12" t="s">
        <v>38</v>
      </c>
      <c r="G14" s="12" t="s">
        <v>39</v>
      </c>
      <c r="H14" s="12" t="s">
        <v>40</v>
      </c>
      <c r="I14" s="9" t="s">
        <v>150</v>
      </c>
      <c r="J14" s="9" t="s">
        <v>42</v>
      </c>
      <c r="K14" s="9">
        <v>2026</v>
      </c>
      <c r="L14" s="4" t="s">
        <v>151</v>
      </c>
      <c r="M14" s="4" t="s">
        <v>152</v>
      </c>
      <c r="N14" s="12" t="s">
        <v>45</v>
      </c>
      <c r="O14" s="16">
        <v>5</v>
      </c>
      <c r="P14" s="16">
        <v>5</v>
      </c>
      <c r="Q14" s="16">
        <v>2</v>
      </c>
      <c r="R14" s="16">
        <v>2</v>
      </c>
      <c r="S14" s="16">
        <f t="shared" si="1"/>
        <v>100</v>
      </c>
      <c r="T14" s="16">
        <f t="shared" si="2"/>
        <v>100</v>
      </c>
      <c r="U14" s="4" t="s">
        <v>153</v>
      </c>
      <c r="V14" s="2" t="s">
        <v>154</v>
      </c>
      <c r="W14" s="9">
        <v>2025</v>
      </c>
      <c r="X14" s="14">
        <v>15</v>
      </c>
      <c r="Y14" s="9">
        <v>2025</v>
      </c>
      <c r="Z14" s="2" t="s">
        <v>155</v>
      </c>
      <c r="AA14" s="2" t="s">
        <v>156</v>
      </c>
      <c r="AB14" s="2" t="s">
        <v>157</v>
      </c>
      <c r="AC14" s="2" t="s">
        <v>157</v>
      </c>
      <c r="AD14" s="2" t="s">
        <v>158</v>
      </c>
      <c r="AE14" s="2" t="s">
        <v>159</v>
      </c>
      <c r="AF14" s="4" t="s">
        <v>53</v>
      </c>
      <c r="AG14" s="6" t="s">
        <v>160</v>
      </c>
    </row>
    <row r="15" spans="1:33" ht="26">
      <c r="A15" s="8">
        <v>11</v>
      </c>
      <c r="B15" s="9" t="str">
        <f t="shared" si="0"/>
        <v>A-优先联系</v>
      </c>
      <c r="C15" s="2" t="s">
        <v>161</v>
      </c>
      <c r="D15" s="9" t="s">
        <v>162</v>
      </c>
      <c r="E15" s="4" t="s">
        <v>163</v>
      </c>
      <c r="F15" s="12" t="s">
        <v>38</v>
      </c>
      <c r="G15" s="12" t="s">
        <v>39</v>
      </c>
      <c r="H15" s="12" t="s">
        <v>69</v>
      </c>
      <c r="I15" s="9" t="s">
        <v>164</v>
      </c>
      <c r="J15" s="9" t="s">
        <v>42</v>
      </c>
      <c r="K15" s="9">
        <v>2026</v>
      </c>
      <c r="L15" s="4" t="s">
        <v>165</v>
      </c>
      <c r="M15" s="4" t="s">
        <v>166</v>
      </c>
      <c r="N15" s="12" t="s">
        <v>45</v>
      </c>
      <c r="O15" s="16">
        <v>5</v>
      </c>
      <c r="P15" s="16">
        <v>5</v>
      </c>
      <c r="Q15" s="16">
        <v>2</v>
      </c>
      <c r="R15" s="16">
        <v>2</v>
      </c>
      <c r="S15" s="16">
        <f t="shared" si="1"/>
        <v>100</v>
      </c>
      <c r="T15" s="16">
        <f t="shared" si="2"/>
        <v>100</v>
      </c>
      <c r="U15" s="4" t="s">
        <v>167</v>
      </c>
      <c r="V15" s="2" t="s">
        <v>168</v>
      </c>
      <c r="W15" s="9">
        <v>2024</v>
      </c>
      <c r="X15" s="14">
        <v>17.3</v>
      </c>
      <c r="Y15" s="9">
        <v>2024</v>
      </c>
      <c r="Z15" s="2" t="s">
        <v>169</v>
      </c>
      <c r="AA15" s="2" t="s">
        <v>170</v>
      </c>
      <c r="AB15" s="2" t="s">
        <v>171</v>
      </c>
      <c r="AC15" s="2" t="s">
        <v>171</v>
      </c>
      <c r="AD15" s="2" t="s">
        <v>172</v>
      </c>
      <c r="AE15" s="2" t="s">
        <v>173</v>
      </c>
      <c r="AF15" s="4" t="s">
        <v>53</v>
      </c>
      <c r="AG15" s="6" t="s">
        <v>174</v>
      </c>
    </row>
    <row r="16" spans="1:33" ht="26">
      <c r="A16" s="8">
        <v>12</v>
      </c>
      <c r="B16" s="9" t="str">
        <f t="shared" si="0"/>
        <v>A-优先联系</v>
      </c>
      <c r="C16" s="2" t="s">
        <v>175</v>
      </c>
      <c r="D16" s="9" t="s">
        <v>103</v>
      </c>
      <c r="E16" s="4" t="s">
        <v>104</v>
      </c>
      <c r="F16" s="12" t="s">
        <v>38</v>
      </c>
      <c r="G16" s="12" t="s">
        <v>39</v>
      </c>
      <c r="H16" s="12" t="s">
        <v>176</v>
      </c>
      <c r="I16" s="9" t="s">
        <v>177</v>
      </c>
      <c r="J16" s="9" t="s">
        <v>42</v>
      </c>
      <c r="K16" s="9">
        <v>2026</v>
      </c>
      <c r="L16" s="4" t="s">
        <v>178</v>
      </c>
      <c r="M16" s="4" t="s">
        <v>179</v>
      </c>
      <c r="N16" s="12" t="s">
        <v>45</v>
      </c>
      <c r="O16" s="16">
        <v>5</v>
      </c>
      <c r="P16" s="16">
        <v>5</v>
      </c>
      <c r="Q16" s="16">
        <v>2</v>
      </c>
      <c r="R16" s="16">
        <v>2</v>
      </c>
      <c r="S16" s="16">
        <f t="shared" si="1"/>
        <v>100</v>
      </c>
      <c r="T16" s="16">
        <f t="shared" si="2"/>
        <v>100</v>
      </c>
      <c r="U16" s="4" t="s">
        <v>180</v>
      </c>
      <c r="V16" s="2" t="s">
        <v>154</v>
      </c>
      <c r="W16" s="9">
        <v>2026</v>
      </c>
      <c r="X16" s="14">
        <v>15</v>
      </c>
      <c r="Y16" s="9">
        <v>2025</v>
      </c>
      <c r="Z16" s="2" t="s">
        <v>181</v>
      </c>
      <c r="AA16" s="2" t="s">
        <v>156</v>
      </c>
      <c r="AB16" s="2" t="s">
        <v>182</v>
      </c>
      <c r="AC16" s="2" t="s">
        <v>182</v>
      </c>
      <c r="AD16" s="2" t="s">
        <v>183</v>
      </c>
      <c r="AE16" s="2" t="s">
        <v>184</v>
      </c>
      <c r="AF16" s="4" t="s">
        <v>53</v>
      </c>
      <c r="AG16" s="6" t="s">
        <v>185</v>
      </c>
    </row>
    <row r="17" spans="1:33" ht="39">
      <c r="A17" s="8">
        <v>13</v>
      </c>
      <c r="B17" s="9" t="str">
        <f t="shared" si="0"/>
        <v>A-优先联系</v>
      </c>
      <c r="C17" s="2" t="s">
        <v>186</v>
      </c>
      <c r="D17" s="9" t="s">
        <v>36</v>
      </c>
      <c r="E17" s="4" t="s">
        <v>56</v>
      </c>
      <c r="F17" s="12" t="s">
        <v>38</v>
      </c>
      <c r="G17" s="12" t="s">
        <v>57</v>
      </c>
      <c r="H17" s="12" t="s">
        <v>40</v>
      </c>
      <c r="I17" s="9" t="s">
        <v>187</v>
      </c>
      <c r="J17" s="9" t="s">
        <v>42</v>
      </c>
      <c r="K17" s="9">
        <v>2026</v>
      </c>
      <c r="L17" s="4" t="s">
        <v>188</v>
      </c>
      <c r="M17" s="4" t="s">
        <v>189</v>
      </c>
      <c r="N17" s="12" t="s">
        <v>45</v>
      </c>
      <c r="O17" s="16">
        <v>5</v>
      </c>
      <c r="P17" s="16">
        <v>5</v>
      </c>
      <c r="Q17" s="16">
        <v>2</v>
      </c>
      <c r="R17" s="16">
        <v>2</v>
      </c>
      <c r="S17" s="16">
        <f t="shared" si="1"/>
        <v>100</v>
      </c>
      <c r="T17" s="16">
        <f t="shared" si="2"/>
        <v>100</v>
      </c>
      <c r="U17" s="4" t="s">
        <v>190</v>
      </c>
      <c r="V17" s="2" t="s">
        <v>154</v>
      </c>
      <c r="W17" s="9">
        <v>2025</v>
      </c>
      <c r="X17" s="14">
        <v>15</v>
      </c>
      <c r="Y17" s="9">
        <v>2025</v>
      </c>
      <c r="Z17" s="2" t="s">
        <v>191</v>
      </c>
      <c r="AA17" s="2" t="s">
        <v>156</v>
      </c>
      <c r="AB17" s="2" t="s">
        <v>50</v>
      </c>
      <c r="AC17" s="2" t="s">
        <v>50</v>
      </c>
      <c r="AD17" s="2" t="s">
        <v>192</v>
      </c>
      <c r="AE17" s="2"/>
      <c r="AF17" s="4" t="s">
        <v>53</v>
      </c>
      <c r="AG17" s="6" t="s">
        <v>67</v>
      </c>
    </row>
    <row r="18" spans="1:33" ht="26">
      <c r="A18" s="8">
        <v>14</v>
      </c>
      <c r="B18" s="9" t="str">
        <f t="shared" si="0"/>
        <v>A-优先联系</v>
      </c>
      <c r="C18" s="2" t="s">
        <v>193</v>
      </c>
      <c r="D18" s="9" t="s">
        <v>36</v>
      </c>
      <c r="E18" s="4" t="s">
        <v>56</v>
      </c>
      <c r="F18" s="12" t="s">
        <v>38</v>
      </c>
      <c r="G18" s="12" t="s">
        <v>39</v>
      </c>
      <c r="H18" s="12" t="s">
        <v>69</v>
      </c>
      <c r="I18" s="9" t="s">
        <v>194</v>
      </c>
      <c r="J18" s="9" t="s">
        <v>42</v>
      </c>
      <c r="K18" s="9">
        <v>2026</v>
      </c>
      <c r="L18" s="4" t="s">
        <v>195</v>
      </c>
      <c r="M18" s="4" t="s">
        <v>196</v>
      </c>
      <c r="N18" s="12" t="s">
        <v>45</v>
      </c>
      <c r="O18" s="16">
        <v>5</v>
      </c>
      <c r="P18" s="16">
        <v>5</v>
      </c>
      <c r="Q18" s="16">
        <v>2</v>
      </c>
      <c r="R18" s="16">
        <v>2</v>
      </c>
      <c r="S18" s="16">
        <f t="shared" si="1"/>
        <v>100</v>
      </c>
      <c r="T18" s="16">
        <f t="shared" si="2"/>
        <v>100</v>
      </c>
      <c r="U18" s="4" t="s">
        <v>197</v>
      </c>
      <c r="V18" s="2" t="s">
        <v>62</v>
      </c>
      <c r="W18" s="9">
        <v>2026</v>
      </c>
      <c r="X18" s="14">
        <v>18.100000000000001</v>
      </c>
      <c r="Y18" s="9">
        <v>2025</v>
      </c>
      <c r="Z18" s="2" t="s">
        <v>198</v>
      </c>
      <c r="AA18" s="2" t="s">
        <v>64</v>
      </c>
      <c r="AB18" s="2" t="s">
        <v>50</v>
      </c>
      <c r="AC18" s="2" t="s">
        <v>50</v>
      </c>
      <c r="AD18" s="2" t="s">
        <v>199</v>
      </c>
      <c r="AE18" s="2" t="s">
        <v>200</v>
      </c>
      <c r="AF18" s="4" t="s">
        <v>53</v>
      </c>
      <c r="AG18" s="6" t="s">
        <v>146</v>
      </c>
    </row>
    <row r="19" spans="1:33" ht="26">
      <c r="A19" s="8">
        <v>15</v>
      </c>
      <c r="B19" s="9" t="str">
        <f t="shared" si="0"/>
        <v>A-优先联系</v>
      </c>
      <c r="C19" s="2" t="s">
        <v>201</v>
      </c>
      <c r="D19" s="9" t="s">
        <v>162</v>
      </c>
      <c r="E19" s="4" t="s">
        <v>202</v>
      </c>
      <c r="F19" s="12" t="s">
        <v>38</v>
      </c>
      <c r="G19" s="12" t="s">
        <v>57</v>
      </c>
      <c r="H19" s="12" t="s">
        <v>69</v>
      </c>
      <c r="I19" s="9" t="s">
        <v>203</v>
      </c>
      <c r="J19" s="9" t="s">
        <v>204</v>
      </c>
      <c r="K19" s="9">
        <v>2025</v>
      </c>
      <c r="L19" s="4" t="s">
        <v>205</v>
      </c>
      <c r="M19" s="4" t="s">
        <v>206</v>
      </c>
      <c r="N19" s="12" t="s">
        <v>45</v>
      </c>
      <c r="O19" s="16">
        <v>5</v>
      </c>
      <c r="P19" s="16">
        <v>5</v>
      </c>
      <c r="Q19" s="16">
        <v>1</v>
      </c>
      <c r="R19" s="16">
        <v>2</v>
      </c>
      <c r="S19" s="16">
        <f t="shared" si="1"/>
        <v>90</v>
      </c>
      <c r="T19" s="16">
        <f t="shared" si="2"/>
        <v>95</v>
      </c>
      <c r="U19" s="4" t="s">
        <v>207</v>
      </c>
      <c r="V19" s="2" t="s">
        <v>208</v>
      </c>
      <c r="W19" s="9">
        <v>2025</v>
      </c>
      <c r="X19" s="14">
        <v>12.1</v>
      </c>
      <c r="Y19" s="9">
        <v>2024</v>
      </c>
      <c r="Z19" s="2" t="s">
        <v>209</v>
      </c>
      <c r="AA19" s="2" t="s">
        <v>210</v>
      </c>
      <c r="AB19" s="2" t="s">
        <v>211</v>
      </c>
      <c r="AC19" s="2" t="s">
        <v>212</v>
      </c>
      <c r="AD19" s="2" t="s">
        <v>213</v>
      </c>
      <c r="AE19" s="2" t="s">
        <v>214</v>
      </c>
      <c r="AF19" s="4" t="s">
        <v>215</v>
      </c>
      <c r="AG19" s="6" t="s">
        <v>216</v>
      </c>
    </row>
    <row r="20" spans="1:33" ht="26">
      <c r="A20" s="8">
        <v>16</v>
      </c>
      <c r="B20" s="9" t="str">
        <f t="shared" si="0"/>
        <v>A-优先联系</v>
      </c>
      <c r="C20" s="2" t="s">
        <v>217</v>
      </c>
      <c r="D20" s="9" t="s">
        <v>218</v>
      </c>
      <c r="E20" s="4" t="s">
        <v>219</v>
      </c>
      <c r="F20" s="12" t="s">
        <v>38</v>
      </c>
      <c r="G20" s="12" t="s">
        <v>57</v>
      </c>
      <c r="H20" s="12" t="s">
        <v>69</v>
      </c>
      <c r="I20" s="9" t="s">
        <v>220</v>
      </c>
      <c r="J20" s="9" t="s">
        <v>204</v>
      </c>
      <c r="K20" s="9">
        <v>2022</v>
      </c>
      <c r="L20" s="4" t="s">
        <v>221</v>
      </c>
      <c r="M20" s="4" t="s">
        <v>119</v>
      </c>
      <c r="N20" s="12" t="s">
        <v>45</v>
      </c>
      <c r="O20" s="16">
        <v>5</v>
      </c>
      <c r="P20" s="16">
        <v>5</v>
      </c>
      <c r="Q20" s="16">
        <v>1</v>
      </c>
      <c r="R20" s="16">
        <v>2</v>
      </c>
      <c r="S20" s="16">
        <f t="shared" si="1"/>
        <v>90</v>
      </c>
      <c r="T20" s="16">
        <f t="shared" si="2"/>
        <v>95</v>
      </c>
      <c r="U20" s="4" t="s">
        <v>222</v>
      </c>
      <c r="V20" s="2" t="s">
        <v>223</v>
      </c>
      <c r="W20" s="9">
        <v>2025</v>
      </c>
      <c r="X20" s="14">
        <v>8</v>
      </c>
      <c r="Y20" s="9">
        <v>2024</v>
      </c>
      <c r="Z20" s="2" t="s">
        <v>224</v>
      </c>
      <c r="AA20" s="2" t="s">
        <v>225</v>
      </c>
      <c r="AB20" s="2" t="s">
        <v>226</v>
      </c>
      <c r="AC20" s="2" t="s">
        <v>227</v>
      </c>
      <c r="AD20" s="2" t="s">
        <v>228</v>
      </c>
      <c r="AE20" s="2" t="s">
        <v>229</v>
      </c>
      <c r="AF20" s="4" t="s">
        <v>215</v>
      </c>
      <c r="AG20" s="6" t="s">
        <v>230</v>
      </c>
    </row>
    <row r="21" spans="1:33" ht="26">
      <c r="A21" s="8">
        <v>17</v>
      </c>
      <c r="B21" s="9" t="str">
        <f t="shared" si="0"/>
        <v>A-优先联系</v>
      </c>
      <c r="C21" s="2" t="s">
        <v>231</v>
      </c>
      <c r="D21" s="9" t="s">
        <v>218</v>
      </c>
      <c r="E21" s="4" t="s">
        <v>219</v>
      </c>
      <c r="F21" s="12" t="s">
        <v>232</v>
      </c>
      <c r="G21" s="12" t="s">
        <v>57</v>
      </c>
      <c r="H21" s="12" t="s">
        <v>69</v>
      </c>
      <c r="I21" s="9" t="s">
        <v>233</v>
      </c>
      <c r="J21" s="9" t="s">
        <v>234</v>
      </c>
      <c r="K21" s="9">
        <v>2015</v>
      </c>
      <c r="L21" s="4" t="s">
        <v>235</v>
      </c>
      <c r="M21" s="4" t="s">
        <v>236</v>
      </c>
      <c r="N21" s="12" t="s">
        <v>45</v>
      </c>
      <c r="O21" s="16">
        <v>5</v>
      </c>
      <c r="P21" s="16">
        <v>5</v>
      </c>
      <c r="Q21" s="16">
        <v>1</v>
      </c>
      <c r="R21" s="16">
        <v>2</v>
      </c>
      <c r="S21" s="16">
        <f t="shared" si="1"/>
        <v>90</v>
      </c>
      <c r="T21" s="16">
        <f t="shared" si="2"/>
        <v>95</v>
      </c>
      <c r="U21" s="4" t="s">
        <v>237</v>
      </c>
      <c r="V21" s="2" t="s">
        <v>238</v>
      </c>
      <c r="W21" s="9">
        <v>2023</v>
      </c>
      <c r="X21" s="14">
        <v>17</v>
      </c>
      <c r="Y21" s="9">
        <v>2024</v>
      </c>
      <c r="Z21" s="2" t="s">
        <v>239</v>
      </c>
      <c r="AA21" s="2" t="s">
        <v>240</v>
      </c>
      <c r="AB21" s="2" t="s">
        <v>241</v>
      </c>
      <c r="AC21" s="2" t="s">
        <v>242</v>
      </c>
      <c r="AD21" s="2" t="s">
        <v>243</v>
      </c>
      <c r="AE21" s="2" t="s">
        <v>244</v>
      </c>
      <c r="AF21" s="4" t="s">
        <v>245</v>
      </c>
      <c r="AG21" s="6" t="s">
        <v>246</v>
      </c>
    </row>
    <row r="22" spans="1:33" ht="26">
      <c r="A22" s="8">
        <v>18</v>
      </c>
      <c r="B22" s="9" t="str">
        <f t="shared" si="0"/>
        <v>B-重点关注</v>
      </c>
      <c r="C22" s="2" t="s">
        <v>247</v>
      </c>
      <c r="D22" s="9" t="s">
        <v>36</v>
      </c>
      <c r="E22" s="4" t="s">
        <v>56</v>
      </c>
      <c r="F22" s="12" t="s">
        <v>232</v>
      </c>
      <c r="G22" s="12" t="s">
        <v>57</v>
      </c>
      <c r="H22" s="12" t="s">
        <v>69</v>
      </c>
      <c r="I22" s="9" t="s">
        <v>248</v>
      </c>
      <c r="J22" s="9" t="s">
        <v>42</v>
      </c>
      <c r="K22" s="9">
        <v>2026</v>
      </c>
      <c r="L22" s="4" t="s">
        <v>249</v>
      </c>
      <c r="M22" s="4" t="s">
        <v>250</v>
      </c>
      <c r="N22" s="12" t="s">
        <v>251</v>
      </c>
      <c r="O22" s="16">
        <v>5</v>
      </c>
      <c r="P22" s="16">
        <v>3</v>
      </c>
      <c r="Q22" s="16">
        <v>2</v>
      </c>
      <c r="R22" s="16">
        <v>2</v>
      </c>
      <c r="S22" s="16">
        <f t="shared" si="1"/>
        <v>86</v>
      </c>
      <c r="T22" s="16">
        <f t="shared" si="2"/>
        <v>91</v>
      </c>
      <c r="U22" s="4" t="s">
        <v>252</v>
      </c>
      <c r="V22" s="2" t="s">
        <v>154</v>
      </c>
      <c r="W22" s="9">
        <v>2025</v>
      </c>
      <c r="X22" s="14">
        <v>15</v>
      </c>
      <c r="Y22" s="9">
        <v>2025</v>
      </c>
      <c r="Z22" s="2" t="s">
        <v>253</v>
      </c>
      <c r="AA22" s="2" t="s">
        <v>156</v>
      </c>
      <c r="AB22" s="2" t="s">
        <v>50</v>
      </c>
      <c r="AC22" s="2" t="s">
        <v>50</v>
      </c>
      <c r="AD22" s="2" t="s">
        <v>254</v>
      </c>
      <c r="AE22" s="2" t="s">
        <v>255</v>
      </c>
      <c r="AF22" s="4" t="s">
        <v>256</v>
      </c>
      <c r="AG22" s="6" t="s">
        <v>257</v>
      </c>
    </row>
    <row r="23" spans="1:33" ht="91">
      <c r="A23" s="8">
        <v>19</v>
      </c>
      <c r="B23" s="9" t="str">
        <f t="shared" si="0"/>
        <v>B-重点关注</v>
      </c>
      <c r="C23" s="2" t="s">
        <v>258</v>
      </c>
      <c r="D23" s="9" t="s">
        <v>259</v>
      </c>
      <c r="E23" s="4" t="s">
        <v>260</v>
      </c>
      <c r="F23" s="12" t="s">
        <v>38</v>
      </c>
      <c r="G23" s="12" t="s">
        <v>39</v>
      </c>
      <c r="H23" s="12" t="s">
        <v>69</v>
      </c>
      <c r="I23" s="9" t="s">
        <v>261</v>
      </c>
      <c r="J23" s="9" t="s">
        <v>204</v>
      </c>
      <c r="K23" s="9">
        <v>2026</v>
      </c>
      <c r="L23" s="4" t="s">
        <v>262</v>
      </c>
      <c r="M23" s="4" t="s">
        <v>263</v>
      </c>
      <c r="N23" s="12" t="s">
        <v>45</v>
      </c>
      <c r="O23" s="16">
        <v>5</v>
      </c>
      <c r="P23" s="16">
        <v>5</v>
      </c>
      <c r="Q23" s="16">
        <v>1</v>
      </c>
      <c r="R23" s="16">
        <v>2</v>
      </c>
      <c r="S23" s="16">
        <f t="shared" si="1"/>
        <v>90</v>
      </c>
      <c r="T23" s="16">
        <f t="shared" si="2"/>
        <v>90</v>
      </c>
      <c r="U23" s="4" t="s">
        <v>264</v>
      </c>
      <c r="V23" s="2" t="s">
        <v>154</v>
      </c>
      <c r="W23" s="9">
        <v>2025</v>
      </c>
      <c r="X23" s="14">
        <v>15</v>
      </c>
      <c r="Y23" s="9">
        <v>2025</v>
      </c>
      <c r="Z23" s="2" t="s">
        <v>265</v>
      </c>
      <c r="AA23" s="2" t="s">
        <v>156</v>
      </c>
      <c r="AB23" s="2" t="s">
        <v>266</v>
      </c>
      <c r="AC23" s="2" t="s">
        <v>267</v>
      </c>
      <c r="AD23" s="2" t="s">
        <v>268</v>
      </c>
      <c r="AE23" s="2" t="s">
        <v>269</v>
      </c>
      <c r="AF23" s="4" t="s">
        <v>215</v>
      </c>
      <c r="AG23" s="6" t="s">
        <v>270</v>
      </c>
    </row>
    <row r="24" spans="1:33" ht="26">
      <c r="A24" s="8">
        <v>20</v>
      </c>
      <c r="B24" s="9" t="str">
        <f t="shared" si="0"/>
        <v>B-重点关注</v>
      </c>
      <c r="C24" s="2" t="s">
        <v>271</v>
      </c>
      <c r="D24" s="9" t="s">
        <v>272</v>
      </c>
      <c r="E24" s="4" t="s">
        <v>273</v>
      </c>
      <c r="F24" s="12" t="s">
        <v>38</v>
      </c>
      <c r="G24" s="12" t="s">
        <v>39</v>
      </c>
      <c r="H24" s="12" t="s">
        <v>176</v>
      </c>
      <c r="I24" s="9" t="s">
        <v>274</v>
      </c>
      <c r="J24" s="9" t="s">
        <v>204</v>
      </c>
      <c r="K24" s="9">
        <v>2025</v>
      </c>
      <c r="L24" s="4" t="s">
        <v>275</v>
      </c>
      <c r="M24" s="4" t="s">
        <v>276</v>
      </c>
      <c r="N24" s="12" t="s">
        <v>45</v>
      </c>
      <c r="O24" s="16">
        <v>5</v>
      </c>
      <c r="P24" s="16">
        <v>5</v>
      </c>
      <c r="Q24" s="16">
        <v>1</v>
      </c>
      <c r="R24" s="16">
        <v>2</v>
      </c>
      <c r="S24" s="16">
        <f t="shared" si="1"/>
        <v>90</v>
      </c>
      <c r="T24" s="16">
        <f t="shared" si="2"/>
        <v>90</v>
      </c>
      <c r="U24" s="4" t="s">
        <v>277</v>
      </c>
      <c r="V24" s="2" t="s">
        <v>62</v>
      </c>
      <c r="W24" s="9">
        <v>2023</v>
      </c>
      <c r="X24" s="14">
        <v>18.100000000000001</v>
      </c>
      <c r="Y24" s="9">
        <v>2025</v>
      </c>
      <c r="Z24" s="2" t="s">
        <v>278</v>
      </c>
      <c r="AA24" s="2" t="s">
        <v>64</v>
      </c>
      <c r="AB24" s="2" t="s">
        <v>279</v>
      </c>
      <c r="AC24" s="2" t="s">
        <v>280</v>
      </c>
      <c r="AD24" s="2" t="s">
        <v>281</v>
      </c>
      <c r="AE24" s="2" t="s">
        <v>282</v>
      </c>
      <c r="AF24" s="4" t="s">
        <v>215</v>
      </c>
      <c r="AG24" s="6" t="s">
        <v>283</v>
      </c>
    </row>
    <row r="25" spans="1:33" ht="39">
      <c r="A25" s="8">
        <v>21</v>
      </c>
      <c r="B25" s="9" t="str">
        <f t="shared" si="0"/>
        <v>B-重点关注</v>
      </c>
      <c r="C25" s="2" t="s">
        <v>284</v>
      </c>
      <c r="D25" s="9" t="s">
        <v>285</v>
      </c>
      <c r="E25" s="4" t="s">
        <v>286</v>
      </c>
      <c r="F25" s="12" t="s">
        <v>38</v>
      </c>
      <c r="G25" s="12" t="s">
        <v>39</v>
      </c>
      <c r="H25" s="12" t="s">
        <v>81</v>
      </c>
      <c r="I25" s="9" t="s">
        <v>287</v>
      </c>
      <c r="J25" s="9" t="s">
        <v>204</v>
      </c>
      <c r="K25" s="9">
        <v>2026</v>
      </c>
      <c r="L25" s="4" t="s">
        <v>288</v>
      </c>
      <c r="M25" s="4" t="s">
        <v>289</v>
      </c>
      <c r="N25" s="12" t="s">
        <v>45</v>
      </c>
      <c r="O25" s="16">
        <v>5</v>
      </c>
      <c r="P25" s="16">
        <v>5</v>
      </c>
      <c r="Q25" s="16">
        <v>1</v>
      </c>
      <c r="R25" s="16">
        <v>2</v>
      </c>
      <c r="S25" s="16">
        <f t="shared" si="1"/>
        <v>90</v>
      </c>
      <c r="T25" s="16">
        <f t="shared" si="2"/>
        <v>90</v>
      </c>
      <c r="U25" s="4" t="s">
        <v>290</v>
      </c>
      <c r="V25" s="2" t="s">
        <v>109</v>
      </c>
      <c r="W25" s="9">
        <v>2025</v>
      </c>
      <c r="X25" s="14">
        <v>48.5</v>
      </c>
      <c r="Y25" s="9">
        <v>2024</v>
      </c>
      <c r="Z25" s="2" t="s">
        <v>291</v>
      </c>
      <c r="AA25" s="2" t="s">
        <v>111</v>
      </c>
      <c r="AB25" s="2" t="s">
        <v>292</v>
      </c>
      <c r="AC25" s="2" t="s">
        <v>293</v>
      </c>
      <c r="AD25" s="2" t="s">
        <v>294</v>
      </c>
      <c r="AE25" s="2" t="s">
        <v>295</v>
      </c>
      <c r="AF25" s="4" t="s">
        <v>215</v>
      </c>
      <c r="AG25" s="6" t="s">
        <v>296</v>
      </c>
    </row>
    <row r="26" spans="1:33" ht="26">
      <c r="A26" s="8">
        <v>22</v>
      </c>
      <c r="B26" s="9" t="str">
        <f t="shared" si="0"/>
        <v>B-重点关注</v>
      </c>
      <c r="C26" s="2" t="s">
        <v>297</v>
      </c>
      <c r="D26" s="9" t="s">
        <v>298</v>
      </c>
      <c r="E26" s="4" t="s">
        <v>299</v>
      </c>
      <c r="F26" s="12" t="s">
        <v>300</v>
      </c>
      <c r="G26" s="12" t="s">
        <v>39</v>
      </c>
      <c r="H26" s="12" t="s">
        <v>138</v>
      </c>
      <c r="I26" s="9" t="s">
        <v>301</v>
      </c>
      <c r="J26" s="9" t="s">
        <v>204</v>
      </c>
      <c r="K26" s="9">
        <v>2026</v>
      </c>
      <c r="L26" s="4" t="s">
        <v>302</v>
      </c>
      <c r="M26" s="4" t="s">
        <v>303</v>
      </c>
      <c r="N26" s="12" t="s">
        <v>45</v>
      </c>
      <c r="O26" s="16">
        <v>5</v>
      </c>
      <c r="P26" s="16">
        <v>5</v>
      </c>
      <c r="Q26" s="16">
        <v>1</v>
      </c>
      <c r="R26" s="16">
        <v>2</v>
      </c>
      <c r="S26" s="16">
        <f t="shared" si="1"/>
        <v>90</v>
      </c>
      <c r="T26" s="16">
        <f t="shared" si="2"/>
        <v>90</v>
      </c>
      <c r="U26" s="4" t="s">
        <v>304</v>
      </c>
      <c r="V26" s="2" t="s">
        <v>62</v>
      </c>
      <c r="W26" s="9">
        <v>2025</v>
      </c>
      <c r="X26" s="14">
        <v>18.100000000000001</v>
      </c>
      <c r="Y26" s="9">
        <v>2025</v>
      </c>
      <c r="Z26" s="2" t="s">
        <v>305</v>
      </c>
      <c r="AA26" s="2" t="s">
        <v>64</v>
      </c>
      <c r="AB26" s="2" t="s">
        <v>306</v>
      </c>
      <c r="AC26" s="2"/>
      <c r="AD26" s="2" t="s">
        <v>307</v>
      </c>
      <c r="AE26" s="2" t="s">
        <v>308</v>
      </c>
      <c r="AF26" s="4" t="s">
        <v>215</v>
      </c>
      <c r="AG26" s="6" t="s">
        <v>309</v>
      </c>
    </row>
    <row r="27" spans="1:33" ht="39">
      <c r="A27" s="8">
        <v>23</v>
      </c>
      <c r="B27" s="9" t="str">
        <f t="shared" si="0"/>
        <v>B-重点关注</v>
      </c>
      <c r="C27" s="2" t="s">
        <v>310</v>
      </c>
      <c r="D27" s="9" t="s">
        <v>103</v>
      </c>
      <c r="E27" s="4" t="s">
        <v>311</v>
      </c>
      <c r="F27" s="12" t="s">
        <v>38</v>
      </c>
      <c r="G27" s="12" t="s">
        <v>39</v>
      </c>
      <c r="H27" s="12" t="s">
        <v>40</v>
      </c>
      <c r="I27" s="9" t="s">
        <v>312</v>
      </c>
      <c r="J27" s="9" t="s">
        <v>204</v>
      </c>
      <c r="K27" s="9">
        <v>2026</v>
      </c>
      <c r="L27" s="4" t="s">
        <v>313</v>
      </c>
      <c r="M27" s="4" t="s">
        <v>189</v>
      </c>
      <c r="N27" s="12" t="s">
        <v>45</v>
      </c>
      <c r="O27" s="16">
        <v>5</v>
      </c>
      <c r="P27" s="16">
        <v>5</v>
      </c>
      <c r="Q27" s="16">
        <v>1</v>
      </c>
      <c r="R27" s="16">
        <v>2</v>
      </c>
      <c r="S27" s="16">
        <f t="shared" si="1"/>
        <v>90</v>
      </c>
      <c r="T27" s="16">
        <f t="shared" si="2"/>
        <v>90</v>
      </c>
      <c r="U27" s="4" t="s">
        <v>314</v>
      </c>
      <c r="V27" s="2" t="s">
        <v>154</v>
      </c>
      <c r="W27" s="9">
        <v>2026</v>
      </c>
      <c r="X27" s="14">
        <v>15</v>
      </c>
      <c r="Y27" s="9">
        <v>2025</v>
      </c>
      <c r="Z27" s="2" t="s">
        <v>315</v>
      </c>
      <c r="AA27" s="2" t="s">
        <v>156</v>
      </c>
      <c r="AB27" s="2" t="s">
        <v>316</v>
      </c>
      <c r="AC27" s="2" t="s">
        <v>317</v>
      </c>
      <c r="AD27" s="2" t="s">
        <v>318</v>
      </c>
      <c r="AE27" s="2" t="s">
        <v>319</v>
      </c>
      <c r="AF27" s="4" t="s">
        <v>215</v>
      </c>
      <c r="AG27" s="6" t="s">
        <v>320</v>
      </c>
    </row>
    <row r="28" spans="1:33" ht="26">
      <c r="A28" s="8">
        <v>24</v>
      </c>
      <c r="B28" s="9" t="str">
        <f t="shared" si="0"/>
        <v>B-重点关注</v>
      </c>
      <c r="C28" s="2" t="s">
        <v>321</v>
      </c>
      <c r="D28" s="9" t="s">
        <v>322</v>
      </c>
      <c r="E28" s="4" t="s">
        <v>323</v>
      </c>
      <c r="F28" s="12" t="s">
        <v>38</v>
      </c>
      <c r="G28" s="12" t="s">
        <v>39</v>
      </c>
      <c r="H28" s="12" t="s">
        <v>81</v>
      </c>
      <c r="I28" s="9" t="s">
        <v>324</v>
      </c>
      <c r="J28" s="9" t="s">
        <v>204</v>
      </c>
      <c r="K28" s="9">
        <v>2023</v>
      </c>
      <c r="L28" s="4" t="s">
        <v>325</v>
      </c>
      <c r="M28" s="4" t="s">
        <v>326</v>
      </c>
      <c r="N28" s="12" t="s">
        <v>45</v>
      </c>
      <c r="O28" s="16">
        <v>5</v>
      </c>
      <c r="P28" s="16">
        <v>5</v>
      </c>
      <c r="Q28" s="16">
        <v>1</v>
      </c>
      <c r="R28" s="16">
        <v>2</v>
      </c>
      <c r="S28" s="16">
        <f t="shared" si="1"/>
        <v>90</v>
      </c>
      <c r="T28" s="16">
        <f t="shared" si="2"/>
        <v>90</v>
      </c>
      <c r="U28" s="4" t="s">
        <v>327</v>
      </c>
      <c r="V28" s="2" t="s">
        <v>109</v>
      </c>
      <c r="W28" s="9">
        <v>2024</v>
      </c>
      <c r="X28" s="14">
        <v>48.5</v>
      </c>
      <c r="Y28" s="9">
        <v>2024</v>
      </c>
      <c r="Z28" s="2" t="s">
        <v>328</v>
      </c>
      <c r="AA28" s="2" t="s">
        <v>111</v>
      </c>
      <c r="AB28" s="2" t="s">
        <v>329</v>
      </c>
      <c r="AC28" s="2" t="s">
        <v>330</v>
      </c>
      <c r="AD28" s="2" t="s">
        <v>331</v>
      </c>
      <c r="AE28" s="2" t="s">
        <v>332</v>
      </c>
      <c r="AF28" s="4" t="s">
        <v>215</v>
      </c>
      <c r="AG28" s="6" t="s">
        <v>333</v>
      </c>
    </row>
    <row r="29" spans="1:33" ht="26">
      <c r="A29" s="8">
        <v>25</v>
      </c>
      <c r="B29" s="9" t="str">
        <f t="shared" si="0"/>
        <v>B-重点关注</v>
      </c>
      <c r="C29" s="2" t="s">
        <v>334</v>
      </c>
      <c r="D29" s="9" t="s">
        <v>335</v>
      </c>
      <c r="E29" s="4" t="s">
        <v>336</v>
      </c>
      <c r="F29" s="12" t="s">
        <v>38</v>
      </c>
      <c r="G29" s="12" t="s">
        <v>39</v>
      </c>
      <c r="H29" s="12" t="s">
        <v>69</v>
      </c>
      <c r="I29" s="9" t="s">
        <v>337</v>
      </c>
      <c r="J29" s="9" t="s">
        <v>204</v>
      </c>
      <c r="K29" s="9">
        <v>2026</v>
      </c>
      <c r="L29" s="4" t="s">
        <v>338</v>
      </c>
      <c r="M29" s="4" t="s">
        <v>339</v>
      </c>
      <c r="N29" s="12" t="s">
        <v>45</v>
      </c>
      <c r="O29" s="16">
        <v>5</v>
      </c>
      <c r="P29" s="16">
        <v>5</v>
      </c>
      <c r="Q29" s="16">
        <v>1</v>
      </c>
      <c r="R29" s="16">
        <v>2</v>
      </c>
      <c r="S29" s="16">
        <f t="shared" si="1"/>
        <v>90</v>
      </c>
      <c r="T29" s="16">
        <f t="shared" si="2"/>
        <v>90</v>
      </c>
      <c r="U29" s="4" t="s">
        <v>340</v>
      </c>
      <c r="V29" s="2" t="s">
        <v>154</v>
      </c>
      <c r="W29" s="9">
        <v>2026</v>
      </c>
      <c r="X29" s="14">
        <v>15</v>
      </c>
      <c r="Y29" s="9">
        <v>2025</v>
      </c>
      <c r="Z29" s="2" t="s">
        <v>341</v>
      </c>
      <c r="AA29" s="2" t="s">
        <v>156</v>
      </c>
      <c r="AB29" s="2" t="s">
        <v>342</v>
      </c>
      <c r="AC29" s="2" t="s">
        <v>343</v>
      </c>
      <c r="AD29" s="2" t="s">
        <v>344</v>
      </c>
      <c r="AE29" s="2" t="s">
        <v>345</v>
      </c>
      <c r="AF29" s="4" t="s">
        <v>215</v>
      </c>
      <c r="AG29" s="6" t="s">
        <v>346</v>
      </c>
    </row>
    <row r="30" spans="1:33" ht="52">
      <c r="A30" s="8">
        <v>26</v>
      </c>
      <c r="B30" s="9" t="str">
        <f t="shared" si="0"/>
        <v>B-重点关注</v>
      </c>
      <c r="C30" s="2" t="s">
        <v>347</v>
      </c>
      <c r="D30" s="9" t="s">
        <v>348</v>
      </c>
      <c r="E30" s="4" t="s">
        <v>349</v>
      </c>
      <c r="F30" s="12" t="s">
        <v>38</v>
      </c>
      <c r="G30" s="12" t="s">
        <v>39</v>
      </c>
      <c r="H30" s="12" t="s">
        <v>81</v>
      </c>
      <c r="I30" s="9" t="s">
        <v>350</v>
      </c>
      <c r="J30" s="9" t="s">
        <v>204</v>
      </c>
      <c r="K30" s="9">
        <v>2025</v>
      </c>
      <c r="L30" s="4" t="s">
        <v>351</v>
      </c>
      <c r="M30" s="4" t="s">
        <v>352</v>
      </c>
      <c r="N30" s="12" t="s">
        <v>45</v>
      </c>
      <c r="O30" s="16">
        <v>5</v>
      </c>
      <c r="P30" s="16">
        <v>5</v>
      </c>
      <c r="Q30" s="16">
        <v>1</v>
      </c>
      <c r="R30" s="16">
        <v>2</v>
      </c>
      <c r="S30" s="16">
        <f t="shared" si="1"/>
        <v>90</v>
      </c>
      <c r="T30" s="16">
        <f t="shared" si="2"/>
        <v>90</v>
      </c>
      <c r="U30" s="4" t="s">
        <v>353</v>
      </c>
      <c r="V30" s="2" t="s">
        <v>154</v>
      </c>
      <c r="W30" s="9">
        <v>2026</v>
      </c>
      <c r="X30" s="14">
        <v>15</v>
      </c>
      <c r="Y30" s="9">
        <v>2025</v>
      </c>
      <c r="Z30" s="2" t="s">
        <v>354</v>
      </c>
      <c r="AA30" s="2" t="s">
        <v>156</v>
      </c>
      <c r="AB30" s="2" t="s">
        <v>355</v>
      </c>
      <c r="AC30" s="2" t="s">
        <v>356</v>
      </c>
      <c r="AD30" s="2" t="s">
        <v>357</v>
      </c>
      <c r="AE30" s="2" t="s">
        <v>358</v>
      </c>
      <c r="AF30" s="4" t="s">
        <v>215</v>
      </c>
      <c r="AG30" s="6" t="s">
        <v>359</v>
      </c>
    </row>
    <row r="31" spans="1:33" ht="26">
      <c r="A31" s="8">
        <v>27</v>
      </c>
      <c r="B31" s="9" t="str">
        <f t="shared" si="0"/>
        <v>B-重点关注</v>
      </c>
      <c r="C31" s="2" t="s">
        <v>360</v>
      </c>
      <c r="D31" s="9" t="s">
        <v>361</v>
      </c>
      <c r="E31" s="4" t="s">
        <v>362</v>
      </c>
      <c r="F31" s="12" t="s">
        <v>38</v>
      </c>
      <c r="G31" s="12" t="s">
        <v>39</v>
      </c>
      <c r="H31" s="12" t="s">
        <v>40</v>
      </c>
      <c r="I31" s="9" t="s">
        <v>363</v>
      </c>
      <c r="J31" s="9" t="s">
        <v>204</v>
      </c>
      <c r="K31" s="9">
        <v>2026</v>
      </c>
      <c r="L31" s="4" t="s">
        <v>364</v>
      </c>
      <c r="M31" s="4" t="s">
        <v>365</v>
      </c>
      <c r="N31" s="12" t="s">
        <v>45</v>
      </c>
      <c r="O31" s="16">
        <v>5</v>
      </c>
      <c r="P31" s="16">
        <v>5</v>
      </c>
      <c r="Q31" s="16">
        <v>1</v>
      </c>
      <c r="R31" s="16">
        <v>2</v>
      </c>
      <c r="S31" s="16">
        <f t="shared" si="1"/>
        <v>90</v>
      </c>
      <c r="T31" s="16">
        <f t="shared" si="2"/>
        <v>90</v>
      </c>
      <c r="U31" s="4" t="s">
        <v>366</v>
      </c>
      <c r="V31" s="2" t="s">
        <v>109</v>
      </c>
      <c r="W31" s="9">
        <v>2026</v>
      </c>
      <c r="X31" s="14">
        <v>48.5</v>
      </c>
      <c r="Y31" s="9">
        <v>2024</v>
      </c>
      <c r="Z31" s="2" t="s">
        <v>367</v>
      </c>
      <c r="AA31" s="2" t="s">
        <v>111</v>
      </c>
      <c r="AB31" s="2" t="s">
        <v>368</v>
      </c>
      <c r="AC31" s="2" t="s">
        <v>369</v>
      </c>
      <c r="AD31" s="2" t="s">
        <v>370</v>
      </c>
      <c r="AE31" s="2" t="s">
        <v>371</v>
      </c>
      <c r="AF31" s="4" t="s">
        <v>215</v>
      </c>
      <c r="AG31" s="6" t="s">
        <v>372</v>
      </c>
    </row>
    <row r="32" spans="1:33" ht="39">
      <c r="A32" s="8">
        <v>28</v>
      </c>
      <c r="B32" s="9" t="str">
        <f t="shared" si="0"/>
        <v>B-重点关注</v>
      </c>
      <c r="C32" s="2" t="s">
        <v>373</v>
      </c>
      <c r="D32" s="9" t="s">
        <v>218</v>
      </c>
      <c r="E32" s="4" t="s">
        <v>374</v>
      </c>
      <c r="F32" s="12" t="s">
        <v>38</v>
      </c>
      <c r="G32" s="12" t="s">
        <v>39</v>
      </c>
      <c r="H32" s="12" t="s">
        <v>69</v>
      </c>
      <c r="I32" s="9" t="s">
        <v>375</v>
      </c>
      <c r="J32" s="9" t="s">
        <v>204</v>
      </c>
      <c r="K32" s="9">
        <v>2025</v>
      </c>
      <c r="L32" s="4" t="s">
        <v>376</v>
      </c>
      <c r="M32" s="4" t="s">
        <v>377</v>
      </c>
      <c r="N32" s="12" t="s">
        <v>45</v>
      </c>
      <c r="O32" s="16">
        <v>5</v>
      </c>
      <c r="P32" s="16">
        <v>5</v>
      </c>
      <c r="Q32" s="16">
        <v>1</v>
      </c>
      <c r="R32" s="16">
        <v>2</v>
      </c>
      <c r="S32" s="16">
        <f t="shared" si="1"/>
        <v>90</v>
      </c>
      <c r="T32" s="16">
        <f t="shared" si="2"/>
        <v>90</v>
      </c>
      <c r="U32" s="4" t="s">
        <v>378</v>
      </c>
      <c r="V32" s="2" t="s">
        <v>154</v>
      </c>
      <c r="W32" s="9">
        <v>2024</v>
      </c>
      <c r="X32" s="14">
        <v>15</v>
      </c>
      <c r="Y32" s="9">
        <v>2025</v>
      </c>
      <c r="Z32" s="2" t="s">
        <v>379</v>
      </c>
      <c r="AA32" s="2" t="s">
        <v>156</v>
      </c>
      <c r="AB32" s="2" t="s">
        <v>380</v>
      </c>
      <c r="AC32" s="2" t="s">
        <v>381</v>
      </c>
      <c r="AD32" s="2" t="s">
        <v>382</v>
      </c>
      <c r="AE32" s="2" t="s">
        <v>383</v>
      </c>
      <c r="AF32" s="4" t="s">
        <v>215</v>
      </c>
      <c r="AG32" s="6" t="s">
        <v>384</v>
      </c>
    </row>
    <row r="33" spans="1:33" ht="26">
      <c r="A33" s="8">
        <v>29</v>
      </c>
      <c r="B33" s="9" t="str">
        <f t="shared" si="0"/>
        <v>B-重点关注</v>
      </c>
      <c r="C33" s="2" t="s">
        <v>385</v>
      </c>
      <c r="D33" s="9" t="s">
        <v>322</v>
      </c>
      <c r="E33" s="4" t="s">
        <v>323</v>
      </c>
      <c r="F33" s="12" t="s">
        <v>38</v>
      </c>
      <c r="G33" s="12" t="s">
        <v>39</v>
      </c>
      <c r="H33" s="12" t="s">
        <v>69</v>
      </c>
      <c r="I33" s="9" t="s">
        <v>386</v>
      </c>
      <c r="J33" s="9" t="s">
        <v>204</v>
      </c>
      <c r="K33" s="9">
        <v>2025</v>
      </c>
      <c r="L33" s="4" t="s">
        <v>387</v>
      </c>
      <c r="M33" s="4" t="s">
        <v>388</v>
      </c>
      <c r="N33" s="12" t="s">
        <v>45</v>
      </c>
      <c r="O33" s="16">
        <v>5</v>
      </c>
      <c r="P33" s="16">
        <v>5</v>
      </c>
      <c r="Q33" s="16">
        <v>1</v>
      </c>
      <c r="R33" s="16">
        <v>2</v>
      </c>
      <c r="S33" s="16">
        <f t="shared" si="1"/>
        <v>90</v>
      </c>
      <c r="T33" s="16">
        <f t="shared" si="2"/>
        <v>90</v>
      </c>
      <c r="U33" s="4" t="s">
        <v>389</v>
      </c>
      <c r="V33" s="2" t="s">
        <v>390</v>
      </c>
      <c r="W33" s="9">
        <v>2024</v>
      </c>
      <c r="X33" s="14">
        <v>9.4</v>
      </c>
      <c r="Y33" s="9">
        <v>2024</v>
      </c>
      <c r="Z33" s="2" t="s">
        <v>391</v>
      </c>
      <c r="AA33" s="2" t="s">
        <v>392</v>
      </c>
      <c r="AB33" s="2" t="s">
        <v>393</v>
      </c>
      <c r="AC33" s="2" t="s">
        <v>330</v>
      </c>
      <c r="AD33" s="2" t="s">
        <v>394</v>
      </c>
      <c r="AE33" s="2" t="s">
        <v>395</v>
      </c>
      <c r="AF33" s="4" t="s">
        <v>215</v>
      </c>
      <c r="AG33" s="6" t="s">
        <v>396</v>
      </c>
    </row>
    <row r="34" spans="1:33" ht="26">
      <c r="A34" s="8">
        <v>30</v>
      </c>
      <c r="B34" s="9" t="str">
        <f t="shared" si="0"/>
        <v>B-重点关注</v>
      </c>
      <c r="C34" s="2" t="s">
        <v>397</v>
      </c>
      <c r="D34" s="9" t="s">
        <v>162</v>
      </c>
      <c r="E34" s="4" t="s">
        <v>398</v>
      </c>
      <c r="F34" s="12" t="s">
        <v>300</v>
      </c>
      <c r="G34" s="12" t="s">
        <v>39</v>
      </c>
      <c r="H34" s="12" t="s">
        <v>69</v>
      </c>
      <c r="I34" s="9" t="s">
        <v>399</v>
      </c>
      <c r="J34" s="9" t="s">
        <v>204</v>
      </c>
      <c r="K34" s="9">
        <v>2025</v>
      </c>
      <c r="L34" s="4" t="s">
        <v>400</v>
      </c>
      <c r="M34" s="4" t="s">
        <v>401</v>
      </c>
      <c r="N34" s="12" t="s">
        <v>45</v>
      </c>
      <c r="O34" s="16">
        <v>5</v>
      </c>
      <c r="P34" s="16">
        <v>5</v>
      </c>
      <c r="Q34" s="16">
        <v>1</v>
      </c>
      <c r="R34" s="16">
        <v>2</v>
      </c>
      <c r="S34" s="16">
        <f t="shared" si="1"/>
        <v>90</v>
      </c>
      <c r="T34" s="16">
        <f t="shared" si="2"/>
        <v>90</v>
      </c>
      <c r="U34" s="4" t="s">
        <v>402</v>
      </c>
      <c r="V34" s="2" t="s">
        <v>74</v>
      </c>
      <c r="W34" s="9">
        <v>2020</v>
      </c>
      <c r="X34" s="14">
        <v>16</v>
      </c>
      <c r="Y34" s="9">
        <v>2024</v>
      </c>
      <c r="Z34" s="2" t="s">
        <v>403</v>
      </c>
      <c r="AA34" s="2" t="s">
        <v>76</v>
      </c>
      <c r="AB34" s="2" t="s">
        <v>404</v>
      </c>
      <c r="AC34" s="2"/>
      <c r="AD34" s="2" t="s">
        <v>405</v>
      </c>
      <c r="AE34" s="2"/>
      <c r="AF34" s="4" t="s">
        <v>215</v>
      </c>
      <c r="AG34" s="6" t="s">
        <v>406</v>
      </c>
    </row>
    <row r="35" spans="1:33" ht="26">
      <c r="A35" s="8">
        <v>31</v>
      </c>
      <c r="B35" s="9" t="str">
        <f t="shared" si="0"/>
        <v>B-重点关注</v>
      </c>
      <c r="C35" s="2" t="s">
        <v>407</v>
      </c>
      <c r="D35" s="9" t="s">
        <v>408</v>
      </c>
      <c r="E35" s="4" t="s">
        <v>409</v>
      </c>
      <c r="F35" s="12" t="s">
        <v>38</v>
      </c>
      <c r="G35" s="12" t="s">
        <v>39</v>
      </c>
      <c r="H35" s="12" t="s">
        <v>40</v>
      </c>
      <c r="I35" s="9" t="s">
        <v>410</v>
      </c>
      <c r="J35" s="9" t="s">
        <v>204</v>
      </c>
      <c r="K35" s="9">
        <v>2026</v>
      </c>
      <c r="L35" s="4" t="s">
        <v>411</v>
      </c>
      <c r="M35" s="4" t="s">
        <v>412</v>
      </c>
      <c r="N35" s="12" t="s">
        <v>45</v>
      </c>
      <c r="O35" s="16">
        <v>5</v>
      </c>
      <c r="P35" s="16">
        <v>5</v>
      </c>
      <c r="Q35" s="16">
        <v>1</v>
      </c>
      <c r="R35" s="16">
        <v>2</v>
      </c>
      <c r="S35" s="16">
        <f t="shared" si="1"/>
        <v>90</v>
      </c>
      <c r="T35" s="16">
        <f t="shared" si="2"/>
        <v>90</v>
      </c>
      <c r="U35" s="4" t="s">
        <v>413</v>
      </c>
      <c r="V35" s="2" t="s">
        <v>154</v>
      </c>
      <c r="W35" s="9">
        <v>2025</v>
      </c>
      <c r="X35" s="14">
        <v>15</v>
      </c>
      <c r="Y35" s="9">
        <v>2025</v>
      </c>
      <c r="Z35" s="2" t="s">
        <v>414</v>
      </c>
      <c r="AA35" s="2" t="s">
        <v>156</v>
      </c>
      <c r="AB35" s="2" t="s">
        <v>415</v>
      </c>
      <c r="AC35" s="2" t="s">
        <v>416</v>
      </c>
      <c r="AD35" s="2" t="s">
        <v>417</v>
      </c>
      <c r="AE35" s="2" t="s">
        <v>418</v>
      </c>
      <c r="AF35" s="4" t="s">
        <v>215</v>
      </c>
      <c r="AG35" s="6" t="s">
        <v>409</v>
      </c>
    </row>
    <row r="36" spans="1:33" ht="26">
      <c r="A36" s="8">
        <v>32</v>
      </c>
      <c r="B36" s="9" t="str">
        <f t="shared" si="0"/>
        <v>B-重点关注</v>
      </c>
      <c r="C36" s="2" t="s">
        <v>419</v>
      </c>
      <c r="D36" s="9" t="s">
        <v>420</v>
      </c>
      <c r="E36" s="4" t="s">
        <v>421</v>
      </c>
      <c r="F36" s="12" t="s">
        <v>38</v>
      </c>
      <c r="G36" s="12" t="s">
        <v>39</v>
      </c>
      <c r="H36" s="12" t="s">
        <v>40</v>
      </c>
      <c r="I36" s="9" t="s">
        <v>422</v>
      </c>
      <c r="J36" s="9" t="s">
        <v>204</v>
      </c>
      <c r="K36" s="9">
        <v>2025</v>
      </c>
      <c r="L36" s="4" t="s">
        <v>423</v>
      </c>
      <c r="M36" s="4" t="s">
        <v>424</v>
      </c>
      <c r="N36" s="12" t="s">
        <v>45</v>
      </c>
      <c r="O36" s="16">
        <v>5</v>
      </c>
      <c r="P36" s="16">
        <v>5</v>
      </c>
      <c r="Q36" s="16">
        <v>1</v>
      </c>
      <c r="R36" s="16">
        <v>2</v>
      </c>
      <c r="S36" s="16">
        <f t="shared" si="1"/>
        <v>90</v>
      </c>
      <c r="T36" s="16">
        <f t="shared" si="2"/>
        <v>90</v>
      </c>
      <c r="U36" s="4" t="s">
        <v>425</v>
      </c>
      <c r="V36" s="2" t="s">
        <v>426</v>
      </c>
      <c r="W36" s="9">
        <v>2024</v>
      </c>
      <c r="X36" s="14">
        <v>19.399999999999999</v>
      </c>
      <c r="Y36" s="9">
        <v>2024</v>
      </c>
      <c r="Z36" s="2" t="s">
        <v>427</v>
      </c>
      <c r="AA36" s="2" t="s">
        <v>428</v>
      </c>
      <c r="AB36" s="2" t="s">
        <v>429</v>
      </c>
      <c r="AC36" s="2" t="s">
        <v>430</v>
      </c>
      <c r="AD36" s="2" t="s">
        <v>431</v>
      </c>
      <c r="AE36" s="2" t="s">
        <v>432</v>
      </c>
      <c r="AF36" s="4" t="s">
        <v>215</v>
      </c>
      <c r="AG36" s="6" t="s">
        <v>433</v>
      </c>
    </row>
    <row r="37" spans="1:33" ht="39">
      <c r="A37" s="8">
        <v>33</v>
      </c>
      <c r="B37" s="9" t="str">
        <f t="shared" ref="B37:B68" si="3">IF(T37&gt;=95,"A-优先联系",IF(T37&gt;=85,"B-重点关注","C-补充候选"))</f>
        <v>B-重点关注</v>
      </c>
      <c r="C37" s="2" t="s">
        <v>434</v>
      </c>
      <c r="D37" s="9" t="s">
        <v>348</v>
      </c>
      <c r="E37" s="4" t="s">
        <v>349</v>
      </c>
      <c r="F37" s="12" t="s">
        <v>300</v>
      </c>
      <c r="G37" s="12" t="s">
        <v>39</v>
      </c>
      <c r="H37" s="12" t="s">
        <v>69</v>
      </c>
      <c r="I37" s="9" t="s">
        <v>435</v>
      </c>
      <c r="J37" s="9" t="s">
        <v>204</v>
      </c>
      <c r="K37" s="9">
        <v>2024</v>
      </c>
      <c r="L37" s="4" t="s">
        <v>436</v>
      </c>
      <c r="M37" s="4" t="s">
        <v>437</v>
      </c>
      <c r="N37" s="12" t="s">
        <v>45</v>
      </c>
      <c r="O37" s="16">
        <v>5</v>
      </c>
      <c r="P37" s="16">
        <v>5</v>
      </c>
      <c r="Q37" s="16">
        <v>1</v>
      </c>
      <c r="R37" s="16">
        <v>2</v>
      </c>
      <c r="S37" s="16">
        <f t="shared" ref="S37:S68" si="4">O37*7+P37*7+Q37*10+R37*5</f>
        <v>90</v>
      </c>
      <c r="T37" s="16">
        <f t="shared" ref="T37:T68" si="5">MIN(100,S37+IF(G37="青年/新组机会",5,0))</f>
        <v>90</v>
      </c>
      <c r="U37" s="4" t="s">
        <v>353</v>
      </c>
      <c r="V37" s="2" t="s">
        <v>154</v>
      </c>
      <c r="W37" s="9">
        <v>2026</v>
      </c>
      <c r="X37" s="14">
        <v>15</v>
      </c>
      <c r="Y37" s="9">
        <v>2025</v>
      </c>
      <c r="Z37" s="2" t="s">
        <v>354</v>
      </c>
      <c r="AA37" s="2" t="s">
        <v>156</v>
      </c>
      <c r="AB37" s="2" t="s">
        <v>438</v>
      </c>
      <c r="AC37" s="2"/>
      <c r="AD37" s="2" t="s">
        <v>439</v>
      </c>
      <c r="AE37" s="2" t="s">
        <v>440</v>
      </c>
      <c r="AF37" s="4" t="s">
        <v>215</v>
      </c>
      <c r="AG37" s="6" t="s">
        <v>441</v>
      </c>
    </row>
    <row r="38" spans="1:33" ht="26">
      <c r="A38" s="8">
        <v>34</v>
      </c>
      <c r="B38" s="9" t="str">
        <f t="shared" si="3"/>
        <v>B-重点关注</v>
      </c>
      <c r="C38" s="2" t="s">
        <v>442</v>
      </c>
      <c r="D38" s="9" t="s">
        <v>103</v>
      </c>
      <c r="E38" s="4" t="s">
        <v>443</v>
      </c>
      <c r="F38" s="12" t="s">
        <v>38</v>
      </c>
      <c r="G38" s="12" t="s">
        <v>39</v>
      </c>
      <c r="H38" s="12" t="s">
        <v>69</v>
      </c>
      <c r="I38" s="9" t="s">
        <v>444</v>
      </c>
      <c r="J38" s="9" t="s">
        <v>204</v>
      </c>
      <c r="K38" s="9">
        <v>2026</v>
      </c>
      <c r="L38" s="4" t="s">
        <v>445</v>
      </c>
      <c r="M38" s="4" t="s">
        <v>446</v>
      </c>
      <c r="N38" s="12" t="s">
        <v>45</v>
      </c>
      <c r="O38" s="16">
        <v>5</v>
      </c>
      <c r="P38" s="16">
        <v>5</v>
      </c>
      <c r="Q38" s="16">
        <v>1</v>
      </c>
      <c r="R38" s="16">
        <v>2</v>
      </c>
      <c r="S38" s="16">
        <f t="shared" si="4"/>
        <v>90</v>
      </c>
      <c r="T38" s="16">
        <f t="shared" si="5"/>
        <v>90</v>
      </c>
      <c r="U38" s="4" t="s">
        <v>447</v>
      </c>
      <c r="V38" s="2" t="s">
        <v>62</v>
      </c>
      <c r="W38" s="9">
        <v>2026</v>
      </c>
      <c r="X38" s="14">
        <v>18.100000000000001</v>
      </c>
      <c r="Y38" s="9">
        <v>2025</v>
      </c>
      <c r="Z38" s="2" t="s">
        <v>448</v>
      </c>
      <c r="AA38" s="2" t="s">
        <v>64</v>
      </c>
      <c r="AB38" s="2" t="s">
        <v>449</v>
      </c>
      <c r="AC38" s="2" t="s">
        <v>450</v>
      </c>
      <c r="AD38" s="2" t="s">
        <v>451</v>
      </c>
      <c r="AE38" s="2" t="s">
        <v>452</v>
      </c>
      <c r="AF38" s="4" t="s">
        <v>215</v>
      </c>
      <c r="AG38" s="6" t="s">
        <v>453</v>
      </c>
    </row>
    <row r="39" spans="1:33" ht="26">
      <c r="A39" s="8">
        <v>35</v>
      </c>
      <c r="B39" s="9" t="str">
        <f t="shared" si="3"/>
        <v>B-重点关注</v>
      </c>
      <c r="C39" s="2" t="s">
        <v>454</v>
      </c>
      <c r="D39" s="9" t="s">
        <v>322</v>
      </c>
      <c r="E39" s="4" t="s">
        <v>323</v>
      </c>
      <c r="F39" s="12" t="s">
        <v>38</v>
      </c>
      <c r="G39" s="12" t="s">
        <v>39</v>
      </c>
      <c r="H39" s="12" t="s">
        <v>138</v>
      </c>
      <c r="I39" s="9" t="s">
        <v>455</v>
      </c>
      <c r="J39" s="9" t="s">
        <v>204</v>
      </c>
      <c r="K39" s="9">
        <v>2025</v>
      </c>
      <c r="L39" s="4" t="s">
        <v>456</v>
      </c>
      <c r="M39" s="4" t="s">
        <v>457</v>
      </c>
      <c r="N39" s="12" t="s">
        <v>45</v>
      </c>
      <c r="O39" s="16">
        <v>5</v>
      </c>
      <c r="P39" s="16">
        <v>5</v>
      </c>
      <c r="Q39" s="16">
        <v>1</v>
      </c>
      <c r="R39" s="16">
        <v>2</v>
      </c>
      <c r="S39" s="16">
        <f t="shared" si="4"/>
        <v>90</v>
      </c>
      <c r="T39" s="16">
        <f t="shared" si="5"/>
        <v>90</v>
      </c>
      <c r="U39" s="4" t="s">
        <v>389</v>
      </c>
      <c r="V39" s="2" t="s">
        <v>390</v>
      </c>
      <c r="W39" s="9">
        <v>2024</v>
      </c>
      <c r="X39" s="14">
        <v>9.4</v>
      </c>
      <c r="Y39" s="9">
        <v>2024</v>
      </c>
      <c r="Z39" s="2" t="s">
        <v>391</v>
      </c>
      <c r="AA39" s="2" t="s">
        <v>392</v>
      </c>
      <c r="AB39" s="2" t="s">
        <v>458</v>
      </c>
      <c r="AC39" s="2" t="s">
        <v>330</v>
      </c>
      <c r="AD39" s="2" t="s">
        <v>459</v>
      </c>
      <c r="AE39" s="2" t="s">
        <v>460</v>
      </c>
      <c r="AF39" s="4" t="s">
        <v>215</v>
      </c>
      <c r="AG39" s="6" t="s">
        <v>323</v>
      </c>
    </row>
    <row r="40" spans="1:33" ht="39">
      <c r="A40" s="8">
        <v>36</v>
      </c>
      <c r="B40" s="9" t="str">
        <f t="shared" si="3"/>
        <v>B-重点关注</v>
      </c>
      <c r="C40" s="2" t="s">
        <v>461</v>
      </c>
      <c r="D40" s="9" t="s">
        <v>322</v>
      </c>
      <c r="E40" s="4" t="s">
        <v>323</v>
      </c>
      <c r="F40" s="12" t="s">
        <v>38</v>
      </c>
      <c r="G40" s="12" t="s">
        <v>39</v>
      </c>
      <c r="H40" s="12" t="s">
        <v>40</v>
      </c>
      <c r="I40" s="9" t="s">
        <v>462</v>
      </c>
      <c r="J40" s="9" t="s">
        <v>204</v>
      </c>
      <c r="K40" s="9">
        <v>2025</v>
      </c>
      <c r="L40" s="4" t="s">
        <v>463</v>
      </c>
      <c r="M40" s="4" t="s">
        <v>189</v>
      </c>
      <c r="N40" s="12" t="s">
        <v>45</v>
      </c>
      <c r="O40" s="16">
        <v>5</v>
      </c>
      <c r="P40" s="16">
        <v>5</v>
      </c>
      <c r="Q40" s="16">
        <v>1</v>
      </c>
      <c r="R40" s="16">
        <v>2</v>
      </c>
      <c r="S40" s="16">
        <f t="shared" si="4"/>
        <v>90</v>
      </c>
      <c r="T40" s="16">
        <f t="shared" si="5"/>
        <v>90</v>
      </c>
      <c r="U40" s="4" t="s">
        <v>464</v>
      </c>
      <c r="V40" s="2" t="s">
        <v>465</v>
      </c>
      <c r="W40" s="9">
        <v>2025</v>
      </c>
      <c r="X40" s="14">
        <v>7.5</v>
      </c>
      <c r="Y40" s="9">
        <v>2024</v>
      </c>
      <c r="Z40" s="2" t="s">
        <v>466</v>
      </c>
      <c r="AA40" s="2" t="s">
        <v>467</v>
      </c>
      <c r="AB40" s="2" t="s">
        <v>468</v>
      </c>
      <c r="AC40" s="2" t="s">
        <v>330</v>
      </c>
      <c r="AD40" s="2" t="s">
        <v>469</v>
      </c>
      <c r="AE40" s="2" t="s">
        <v>470</v>
      </c>
      <c r="AF40" s="4" t="s">
        <v>215</v>
      </c>
      <c r="AG40" s="6" t="s">
        <v>471</v>
      </c>
    </row>
    <row r="41" spans="1:33">
      <c r="A41" s="8">
        <v>37</v>
      </c>
      <c r="B41" s="9" t="str">
        <f t="shared" si="3"/>
        <v>B-重点关注</v>
      </c>
      <c r="C41" s="2" t="s">
        <v>472</v>
      </c>
      <c r="D41" s="9" t="s">
        <v>473</v>
      </c>
      <c r="E41" s="4" t="s">
        <v>474</v>
      </c>
      <c r="F41" s="12" t="s">
        <v>300</v>
      </c>
      <c r="G41" s="12" t="s">
        <v>39</v>
      </c>
      <c r="H41" s="12" t="s">
        <v>69</v>
      </c>
      <c r="I41" s="9" t="s">
        <v>475</v>
      </c>
      <c r="J41" s="9" t="s">
        <v>204</v>
      </c>
      <c r="K41" s="9">
        <v>2023</v>
      </c>
      <c r="L41" s="4" t="s">
        <v>476</v>
      </c>
      <c r="M41" s="4" t="s">
        <v>477</v>
      </c>
      <c r="N41" s="12" t="s">
        <v>45</v>
      </c>
      <c r="O41" s="16">
        <v>5</v>
      </c>
      <c r="P41" s="16">
        <v>5</v>
      </c>
      <c r="Q41" s="16">
        <v>1</v>
      </c>
      <c r="R41" s="16">
        <v>2</v>
      </c>
      <c r="S41" s="16">
        <f t="shared" si="4"/>
        <v>90</v>
      </c>
      <c r="T41" s="16">
        <f t="shared" si="5"/>
        <v>90</v>
      </c>
      <c r="U41" s="4" t="s">
        <v>478</v>
      </c>
      <c r="V41" s="2" t="s">
        <v>154</v>
      </c>
      <c r="W41" s="9">
        <v>2023</v>
      </c>
      <c r="X41" s="14">
        <v>15</v>
      </c>
      <c r="Y41" s="9">
        <v>2025</v>
      </c>
      <c r="Z41" s="2" t="s">
        <v>479</v>
      </c>
      <c r="AA41" s="2" t="s">
        <v>156</v>
      </c>
      <c r="AB41" s="2" t="s">
        <v>480</v>
      </c>
      <c r="AC41" s="2"/>
      <c r="AD41" s="2" t="s">
        <v>481</v>
      </c>
      <c r="AE41" s="2" t="s">
        <v>482</v>
      </c>
      <c r="AF41" s="4" t="s">
        <v>215</v>
      </c>
      <c r="AG41" s="6" t="s">
        <v>483</v>
      </c>
    </row>
    <row r="42" spans="1:33" ht="39">
      <c r="A42" s="8">
        <v>38</v>
      </c>
      <c r="B42" s="9" t="str">
        <f t="shared" si="3"/>
        <v>B-重点关注</v>
      </c>
      <c r="C42" s="2" t="s">
        <v>484</v>
      </c>
      <c r="D42" s="9" t="s">
        <v>420</v>
      </c>
      <c r="E42" s="4" t="s">
        <v>421</v>
      </c>
      <c r="F42" s="12" t="s">
        <v>38</v>
      </c>
      <c r="G42" s="12" t="s">
        <v>39</v>
      </c>
      <c r="H42" s="12" t="s">
        <v>40</v>
      </c>
      <c r="I42" s="9" t="s">
        <v>485</v>
      </c>
      <c r="J42" s="9" t="s">
        <v>204</v>
      </c>
      <c r="K42" s="9">
        <v>2023</v>
      </c>
      <c r="L42" s="4" t="s">
        <v>486</v>
      </c>
      <c r="M42" s="4" t="s">
        <v>487</v>
      </c>
      <c r="N42" s="12" t="s">
        <v>45</v>
      </c>
      <c r="O42" s="16">
        <v>5</v>
      </c>
      <c r="P42" s="16">
        <v>5</v>
      </c>
      <c r="Q42" s="16">
        <v>1</v>
      </c>
      <c r="R42" s="16">
        <v>2</v>
      </c>
      <c r="S42" s="16">
        <f t="shared" si="4"/>
        <v>90</v>
      </c>
      <c r="T42" s="16">
        <f t="shared" si="5"/>
        <v>90</v>
      </c>
      <c r="U42" s="4" t="s">
        <v>488</v>
      </c>
      <c r="V42" s="2" t="s">
        <v>62</v>
      </c>
      <c r="W42" s="9">
        <v>2022</v>
      </c>
      <c r="X42" s="14">
        <v>18.100000000000001</v>
      </c>
      <c r="Y42" s="9">
        <v>2025</v>
      </c>
      <c r="Z42" s="2" t="s">
        <v>489</v>
      </c>
      <c r="AA42" s="2" t="s">
        <v>64</v>
      </c>
      <c r="AB42" s="2" t="s">
        <v>490</v>
      </c>
      <c r="AC42" s="2" t="s">
        <v>430</v>
      </c>
      <c r="AD42" s="2" t="s">
        <v>491</v>
      </c>
      <c r="AE42" s="2" t="s">
        <v>492</v>
      </c>
      <c r="AF42" s="4" t="s">
        <v>215</v>
      </c>
      <c r="AG42" s="6" t="s">
        <v>493</v>
      </c>
    </row>
    <row r="43" spans="1:33" ht="39">
      <c r="A43" s="8">
        <v>39</v>
      </c>
      <c r="B43" s="9" t="str">
        <f t="shared" si="3"/>
        <v>B-重点关注</v>
      </c>
      <c r="C43" s="2" t="s">
        <v>494</v>
      </c>
      <c r="D43" s="9" t="s">
        <v>36</v>
      </c>
      <c r="E43" s="4" t="s">
        <v>93</v>
      </c>
      <c r="F43" s="12" t="s">
        <v>300</v>
      </c>
      <c r="G43" s="12" t="s">
        <v>39</v>
      </c>
      <c r="H43" s="12" t="s">
        <v>138</v>
      </c>
      <c r="I43" s="9" t="s">
        <v>495</v>
      </c>
      <c r="J43" s="9" t="s">
        <v>204</v>
      </c>
      <c r="K43" s="9">
        <v>2025</v>
      </c>
      <c r="L43" s="4" t="s">
        <v>496</v>
      </c>
      <c r="M43" s="4" t="s">
        <v>412</v>
      </c>
      <c r="N43" s="12" t="s">
        <v>45</v>
      </c>
      <c r="O43" s="16">
        <v>5</v>
      </c>
      <c r="P43" s="16">
        <v>5</v>
      </c>
      <c r="Q43" s="16">
        <v>1</v>
      </c>
      <c r="R43" s="16">
        <v>2</v>
      </c>
      <c r="S43" s="16">
        <f t="shared" si="4"/>
        <v>90</v>
      </c>
      <c r="T43" s="16">
        <f t="shared" si="5"/>
        <v>90</v>
      </c>
      <c r="U43" s="4" t="s">
        <v>497</v>
      </c>
      <c r="V43" s="2" t="s">
        <v>109</v>
      </c>
      <c r="W43" s="9">
        <v>2026</v>
      </c>
      <c r="X43" s="14">
        <v>48.5</v>
      </c>
      <c r="Y43" s="9">
        <v>2024</v>
      </c>
      <c r="Z43" s="2" t="s">
        <v>498</v>
      </c>
      <c r="AA43" s="2" t="s">
        <v>111</v>
      </c>
      <c r="AB43" s="2" t="s">
        <v>499</v>
      </c>
      <c r="AC43" s="2"/>
      <c r="AD43" s="2" t="s">
        <v>500</v>
      </c>
      <c r="AE43" s="2" t="s">
        <v>501</v>
      </c>
      <c r="AF43" s="4" t="s">
        <v>215</v>
      </c>
      <c r="AG43" s="6" t="s">
        <v>502</v>
      </c>
    </row>
    <row r="44" spans="1:33" ht="26">
      <c r="A44" s="8">
        <v>40</v>
      </c>
      <c r="B44" s="9" t="str">
        <f t="shared" si="3"/>
        <v>B-重点关注</v>
      </c>
      <c r="C44" s="2" t="s">
        <v>503</v>
      </c>
      <c r="D44" s="9" t="s">
        <v>36</v>
      </c>
      <c r="E44" s="4" t="s">
        <v>504</v>
      </c>
      <c r="F44" s="12" t="s">
        <v>38</v>
      </c>
      <c r="G44" s="12" t="s">
        <v>39</v>
      </c>
      <c r="H44" s="12" t="s">
        <v>69</v>
      </c>
      <c r="I44" s="9" t="s">
        <v>505</v>
      </c>
      <c r="J44" s="9" t="s">
        <v>204</v>
      </c>
      <c r="K44" s="9">
        <v>2026</v>
      </c>
      <c r="L44" s="4" t="s">
        <v>506</v>
      </c>
      <c r="M44" s="4" t="s">
        <v>507</v>
      </c>
      <c r="N44" s="12" t="s">
        <v>45</v>
      </c>
      <c r="O44" s="16">
        <v>5</v>
      </c>
      <c r="P44" s="16">
        <v>5</v>
      </c>
      <c r="Q44" s="16">
        <v>1</v>
      </c>
      <c r="R44" s="16">
        <v>2</v>
      </c>
      <c r="S44" s="16">
        <f t="shared" si="4"/>
        <v>90</v>
      </c>
      <c r="T44" s="16">
        <f t="shared" si="5"/>
        <v>90</v>
      </c>
      <c r="U44" s="4" t="s">
        <v>508</v>
      </c>
      <c r="V44" s="2" t="s">
        <v>509</v>
      </c>
      <c r="W44" s="9">
        <v>2024</v>
      </c>
      <c r="X44" s="14">
        <v>7</v>
      </c>
      <c r="Y44" s="9">
        <v>2024</v>
      </c>
      <c r="Z44" s="2" t="s">
        <v>510</v>
      </c>
      <c r="AA44" s="2" t="s">
        <v>511</v>
      </c>
      <c r="AB44" s="2" t="s">
        <v>512</v>
      </c>
      <c r="AC44" s="2" t="s">
        <v>513</v>
      </c>
      <c r="AD44" s="2" t="s">
        <v>514</v>
      </c>
      <c r="AE44" s="2" t="s">
        <v>515</v>
      </c>
      <c r="AF44" s="4" t="s">
        <v>516</v>
      </c>
      <c r="AG44" s="6" t="s">
        <v>517</v>
      </c>
    </row>
    <row r="45" spans="1:33" ht="26">
      <c r="A45" s="8">
        <v>41</v>
      </c>
      <c r="B45" s="9" t="str">
        <f t="shared" si="3"/>
        <v>B-重点关注</v>
      </c>
      <c r="C45" s="2" t="s">
        <v>518</v>
      </c>
      <c r="D45" s="9" t="s">
        <v>148</v>
      </c>
      <c r="E45" s="4" t="s">
        <v>149</v>
      </c>
      <c r="F45" s="12" t="s">
        <v>38</v>
      </c>
      <c r="G45" s="12" t="s">
        <v>39</v>
      </c>
      <c r="H45" s="12" t="s">
        <v>40</v>
      </c>
      <c r="I45" s="9" t="s">
        <v>519</v>
      </c>
      <c r="J45" s="9" t="s">
        <v>204</v>
      </c>
      <c r="K45" s="9">
        <v>2026</v>
      </c>
      <c r="L45" s="4" t="s">
        <v>520</v>
      </c>
      <c r="M45" s="4" t="s">
        <v>412</v>
      </c>
      <c r="N45" s="12" t="s">
        <v>45</v>
      </c>
      <c r="O45" s="16">
        <v>5</v>
      </c>
      <c r="P45" s="16">
        <v>5</v>
      </c>
      <c r="Q45" s="16">
        <v>1</v>
      </c>
      <c r="R45" s="16">
        <v>2</v>
      </c>
      <c r="S45" s="16">
        <f t="shared" si="4"/>
        <v>90</v>
      </c>
      <c r="T45" s="16">
        <f t="shared" si="5"/>
        <v>90</v>
      </c>
      <c r="U45" s="4" t="s">
        <v>521</v>
      </c>
      <c r="V45" s="2" t="s">
        <v>522</v>
      </c>
      <c r="W45" s="9">
        <v>2026</v>
      </c>
      <c r="X45" s="14">
        <v>9.4</v>
      </c>
      <c r="Y45" s="9">
        <v>2024</v>
      </c>
      <c r="Z45" s="2" t="s">
        <v>523</v>
      </c>
      <c r="AA45" s="2" t="s">
        <v>524</v>
      </c>
      <c r="AB45" s="2" t="s">
        <v>525</v>
      </c>
      <c r="AC45" s="2" t="s">
        <v>526</v>
      </c>
      <c r="AD45" s="2" t="s">
        <v>527</v>
      </c>
      <c r="AE45" s="2" t="s">
        <v>528</v>
      </c>
      <c r="AF45" s="4" t="s">
        <v>215</v>
      </c>
      <c r="AG45" s="6" t="s">
        <v>529</v>
      </c>
    </row>
    <row r="46" spans="1:33" ht="26">
      <c r="A46" s="8">
        <v>42</v>
      </c>
      <c r="B46" s="9" t="str">
        <f t="shared" si="3"/>
        <v>B-重点关注</v>
      </c>
      <c r="C46" s="2" t="s">
        <v>530</v>
      </c>
      <c r="D46" s="9" t="s">
        <v>36</v>
      </c>
      <c r="E46" s="4" t="s">
        <v>56</v>
      </c>
      <c r="F46" s="12" t="s">
        <v>300</v>
      </c>
      <c r="G46" s="12" t="s">
        <v>39</v>
      </c>
      <c r="H46" s="12" t="s">
        <v>40</v>
      </c>
      <c r="I46" s="9" t="s">
        <v>531</v>
      </c>
      <c r="J46" s="9" t="s">
        <v>204</v>
      </c>
      <c r="K46" s="9">
        <v>2026</v>
      </c>
      <c r="L46" s="4" t="s">
        <v>532</v>
      </c>
      <c r="M46" s="4" t="s">
        <v>189</v>
      </c>
      <c r="N46" s="12" t="s">
        <v>45</v>
      </c>
      <c r="O46" s="16">
        <v>5</v>
      </c>
      <c r="P46" s="16">
        <v>5</v>
      </c>
      <c r="Q46" s="16">
        <v>1</v>
      </c>
      <c r="R46" s="16">
        <v>2</v>
      </c>
      <c r="S46" s="16">
        <f t="shared" si="4"/>
        <v>90</v>
      </c>
      <c r="T46" s="16">
        <f t="shared" si="5"/>
        <v>90</v>
      </c>
      <c r="U46" s="4" t="s">
        <v>533</v>
      </c>
      <c r="V46" s="2" t="s">
        <v>109</v>
      </c>
      <c r="W46" s="9">
        <v>2025</v>
      </c>
      <c r="X46" s="14">
        <v>48.5</v>
      </c>
      <c r="Y46" s="9">
        <v>2024</v>
      </c>
      <c r="Z46" s="2" t="s">
        <v>534</v>
      </c>
      <c r="AA46" s="2" t="s">
        <v>111</v>
      </c>
      <c r="AB46" s="2" t="s">
        <v>535</v>
      </c>
      <c r="AC46" s="2"/>
      <c r="AD46" s="2" t="s">
        <v>536</v>
      </c>
      <c r="AE46" s="2" t="s">
        <v>537</v>
      </c>
      <c r="AF46" s="4" t="s">
        <v>215</v>
      </c>
      <c r="AG46" s="6" t="s">
        <v>538</v>
      </c>
    </row>
    <row r="47" spans="1:33" ht="39">
      <c r="A47" s="8">
        <v>43</v>
      </c>
      <c r="B47" s="9" t="str">
        <f t="shared" si="3"/>
        <v>B-重点关注</v>
      </c>
      <c r="C47" s="2" t="s">
        <v>539</v>
      </c>
      <c r="D47" s="9" t="s">
        <v>540</v>
      </c>
      <c r="E47" s="4" t="s">
        <v>541</v>
      </c>
      <c r="F47" s="12" t="s">
        <v>300</v>
      </c>
      <c r="G47" s="12" t="s">
        <v>39</v>
      </c>
      <c r="H47" s="12" t="s">
        <v>69</v>
      </c>
      <c r="I47" s="9" t="s">
        <v>542</v>
      </c>
      <c r="J47" s="9" t="s">
        <v>204</v>
      </c>
      <c r="K47" s="9">
        <v>2024</v>
      </c>
      <c r="L47" s="4" t="s">
        <v>543</v>
      </c>
      <c r="M47" s="4" t="s">
        <v>544</v>
      </c>
      <c r="N47" s="12" t="s">
        <v>45</v>
      </c>
      <c r="O47" s="16">
        <v>5</v>
      </c>
      <c r="P47" s="16">
        <v>5</v>
      </c>
      <c r="Q47" s="16">
        <v>1</v>
      </c>
      <c r="R47" s="16">
        <v>2</v>
      </c>
      <c r="S47" s="16">
        <f t="shared" si="4"/>
        <v>90</v>
      </c>
      <c r="T47" s="16">
        <f t="shared" si="5"/>
        <v>90</v>
      </c>
      <c r="U47" s="4" t="s">
        <v>545</v>
      </c>
      <c r="V47" s="2" t="s">
        <v>168</v>
      </c>
      <c r="W47" s="9">
        <v>2024</v>
      </c>
      <c r="X47" s="14">
        <v>17.3</v>
      </c>
      <c r="Y47" s="9">
        <v>2024</v>
      </c>
      <c r="Z47" s="2" t="s">
        <v>546</v>
      </c>
      <c r="AA47" s="2" t="s">
        <v>170</v>
      </c>
      <c r="AB47" s="2" t="s">
        <v>547</v>
      </c>
      <c r="AC47" s="2"/>
      <c r="AD47" s="2" t="s">
        <v>548</v>
      </c>
      <c r="AE47" s="2" t="s">
        <v>549</v>
      </c>
      <c r="AF47" s="4" t="s">
        <v>215</v>
      </c>
      <c r="AG47" s="6" t="s">
        <v>550</v>
      </c>
    </row>
    <row r="48" spans="1:33" ht="26">
      <c r="A48" s="8">
        <v>44</v>
      </c>
      <c r="B48" s="9" t="str">
        <f t="shared" si="3"/>
        <v>B-重点关注</v>
      </c>
      <c r="C48" s="2" t="s">
        <v>551</v>
      </c>
      <c r="D48" s="9" t="s">
        <v>348</v>
      </c>
      <c r="E48" s="4" t="s">
        <v>552</v>
      </c>
      <c r="F48" s="12" t="s">
        <v>38</v>
      </c>
      <c r="G48" s="12" t="s">
        <v>39</v>
      </c>
      <c r="H48" s="12" t="s">
        <v>40</v>
      </c>
      <c r="I48" s="9" t="s">
        <v>553</v>
      </c>
      <c r="J48" s="9" t="s">
        <v>204</v>
      </c>
      <c r="K48" s="9">
        <v>2023</v>
      </c>
      <c r="L48" s="4" t="s">
        <v>554</v>
      </c>
      <c r="M48" s="4" t="s">
        <v>555</v>
      </c>
      <c r="N48" s="12" t="s">
        <v>45</v>
      </c>
      <c r="O48" s="16">
        <v>5</v>
      </c>
      <c r="P48" s="16">
        <v>5</v>
      </c>
      <c r="Q48" s="16">
        <v>1</v>
      </c>
      <c r="R48" s="16">
        <v>2</v>
      </c>
      <c r="S48" s="16">
        <f t="shared" si="4"/>
        <v>90</v>
      </c>
      <c r="T48" s="16">
        <f t="shared" si="5"/>
        <v>90</v>
      </c>
      <c r="U48" s="4" t="s">
        <v>556</v>
      </c>
      <c r="V48" s="2" t="s">
        <v>62</v>
      </c>
      <c r="W48" s="9">
        <v>2025</v>
      </c>
      <c r="X48" s="14">
        <v>18.100000000000001</v>
      </c>
      <c r="Y48" s="9">
        <v>2025</v>
      </c>
      <c r="Z48" s="2" t="s">
        <v>557</v>
      </c>
      <c r="AA48" s="2" t="s">
        <v>64</v>
      </c>
      <c r="AB48" s="2" t="s">
        <v>558</v>
      </c>
      <c r="AC48" s="2" t="s">
        <v>559</v>
      </c>
      <c r="AD48" s="2" t="s">
        <v>560</v>
      </c>
      <c r="AE48" s="2" t="s">
        <v>561</v>
      </c>
      <c r="AF48" s="4" t="s">
        <v>215</v>
      </c>
      <c r="AG48" s="6" t="s">
        <v>562</v>
      </c>
    </row>
    <row r="49" spans="1:33" ht="26">
      <c r="A49" s="8">
        <v>45</v>
      </c>
      <c r="B49" s="9" t="str">
        <f t="shared" si="3"/>
        <v>B-重点关注</v>
      </c>
      <c r="C49" s="2" t="s">
        <v>563</v>
      </c>
      <c r="D49" s="9" t="s">
        <v>218</v>
      </c>
      <c r="E49" s="4" t="s">
        <v>374</v>
      </c>
      <c r="F49" s="12" t="s">
        <v>38</v>
      </c>
      <c r="G49" s="12" t="s">
        <v>39</v>
      </c>
      <c r="H49" s="12" t="s">
        <v>138</v>
      </c>
      <c r="I49" s="9" t="s">
        <v>564</v>
      </c>
      <c r="J49" s="9" t="s">
        <v>204</v>
      </c>
      <c r="K49" s="9">
        <v>2026</v>
      </c>
      <c r="L49" s="4" t="s">
        <v>565</v>
      </c>
      <c r="M49" s="4" t="s">
        <v>566</v>
      </c>
      <c r="N49" s="12" t="s">
        <v>45</v>
      </c>
      <c r="O49" s="16">
        <v>5</v>
      </c>
      <c r="P49" s="16">
        <v>5</v>
      </c>
      <c r="Q49" s="16">
        <v>1</v>
      </c>
      <c r="R49" s="16">
        <v>2</v>
      </c>
      <c r="S49" s="16">
        <f t="shared" si="4"/>
        <v>90</v>
      </c>
      <c r="T49" s="16">
        <f t="shared" si="5"/>
        <v>90</v>
      </c>
      <c r="U49" s="4" t="s">
        <v>567</v>
      </c>
      <c r="V49" s="2" t="s">
        <v>154</v>
      </c>
      <c r="W49" s="9">
        <v>2025</v>
      </c>
      <c r="X49" s="14">
        <v>15</v>
      </c>
      <c r="Y49" s="9">
        <v>2025</v>
      </c>
      <c r="Z49" s="2" t="s">
        <v>568</v>
      </c>
      <c r="AA49" s="2" t="s">
        <v>156</v>
      </c>
      <c r="AB49" s="2" t="s">
        <v>569</v>
      </c>
      <c r="AC49" s="2" t="s">
        <v>570</v>
      </c>
      <c r="AD49" s="2" t="s">
        <v>571</v>
      </c>
      <c r="AE49" s="2" t="s">
        <v>572</v>
      </c>
      <c r="AF49" s="4" t="s">
        <v>215</v>
      </c>
      <c r="AG49" s="6" t="s">
        <v>573</v>
      </c>
    </row>
    <row r="50" spans="1:33" ht="26">
      <c r="A50" s="8">
        <v>46</v>
      </c>
      <c r="B50" s="9" t="str">
        <f t="shared" si="3"/>
        <v>B-重点关注</v>
      </c>
      <c r="C50" s="2" t="s">
        <v>574</v>
      </c>
      <c r="D50" s="9" t="s">
        <v>259</v>
      </c>
      <c r="E50" s="4" t="s">
        <v>575</v>
      </c>
      <c r="F50" s="12" t="s">
        <v>38</v>
      </c>
      <c r="G50" s="12" t="s">
        <v>39</v>
      </c>
      <c r="H50" s="12" t="s">
        <v>69</v>
      </c>
      <c r="I50" s="9" t="s">
        <v>576</v>
      </c>
      <c r="J50" s="9" t="s">
        <v>204</v>
      </c>
      <c r="K50" s="9">
        <v>2026</v>
      </c>
      <c r="L50" s="4" t="s">
        <v>577</v>
      </c>
      <c r="M50" s="4" t="s">
        <v>578</v>
      </c>
      <c r="N50" s="12" t="s">
        <v>45</v>
      </c>
      <c r="O50" s="16">
        <v>5</v>
      </c>
      <c r="P50" s="16">
        <v>5</v>
      </c>
      <c r="Q50" s="16">
        <v>1</v>
      </c>
      <c r="R50" s="16">
        <v>2</v>
      </c>
      <c r="S50" s="16">
        <f t="shared" si="4"/>
        <v>90</v>
      </c>
      <c r="T50" s="16">
        <f t="shared" si="5"/>
        <v>90</v>
      </c>
      <c r="U50" s="4" t="s">
        <v>579</v>
      </c>
      <c r="V50" s="2" t="s">
        <v>62</v>
      </c>
      <c r="W50" s="9">
        <v>2026</v>
      </c>
      <c r="X50" s="14">
        <v>18.100000000000001</v>
      </c>
      <c r="Y50" s="9">
        <v>2025</v>
      </c>
      <c r="Z50" s="2" t="s">
        <v>580</v>
      </c>
      <c r="AA50" s="2" t="s">
        <v>64</v>
      </c>
      <c r="AB50" s="2" t="s">
        <v>581</v>
      </c>
      <c r="AC50" s="2" t="s">
        <v>582</v>
      </c>
      <c r="AD50" s="2" t="s">
        <v>583</v>
      </c>
      <c r="AE50" s="2" t="s">
        <v>584</v>
      </c>
      <c r="AF50" s="4" t="s">
        <v>215</v>
      </c>
      <c r="AG50" s="6" t="s">
        <v>585</v>
      </c>
    </row>
    <row r="51" spans="1:33" ht="65">
      <c r="A51" s="8">
        <v>47</v>
      </c>
      <c r="B51" s="9" t="str">
        <f t="shared" si="3"/>
        <v>B-重点关注</v>
      </c>
      <c r="C51" s="2" t="s">
        <v>586</v>
      </c>
      <c r="D51" s="9" t="s">
        <v>162</v>
      </c>
      <c r="E51" s="4" t="s">
        <v>202</v>
      </c>
      <c r="F51" s="12" t="s">
        <v>38</v>
      </c>
      <c r="G51" s="12" t="s">
        <v>39</v>
      </c>
      <c r="H51" s="12" t="s">
        <v>69</v>
      </c>
      <c r="I51" s="9" t="s">
        <v>587</v>
      </c>
      <c r="J51" s="9" t="s">
        <v>204</v>
      </c>
      <c r="K51" s="9">
        <v>2025</v>
      </c>
      <c r="L51" s="4" t="s">
        <v>588</v>
      </c>
      <c r="M51" s="4" t="s">
        <v>589</v>
      </c>
      <c r="N51" s="12" t="s">
        <v>45</v>
      </c>
      <c r="O51" s="16">
        <v>5</v>
      </c>
      <c r="P51" s="16">
        <v>5</v>
      </c>
      <c r="Q51" s="16">
        <v>1</v>
      </c>
      <c r="R51" s="16">
        <v>2</v>
      </c>
      <c r="S51" s="16">
        <f t="shared" si="4"/>
        <v>90</v>
      </c>
      <c r="T51" s="16">
        <f t="shared" si="5"/>
        <v>90</v>
      </c>
      <c r="U51" s="4" t="s">
        <v>590</v>
      </c>
      <c r="V51" s="2" t="s">
        <v>426</v>
      </c>
      <c r="W51" s="9">
        <v>2025</v>
      </c>
      <c r="X51" s="14">
        <v>19.399999999999999</v>
      </c>
      <c r="Y51" s="9">
        <v>2024</v>
      </c>
      <c r="Z51" s="2" t="s">
        <v>591</v>
      </c>
      <c r="AA51" s="2" t="s">
        <v>428</v>
      </c>
      <c r="AB51" s="2" t="s">
        <v>592</v>
      </c>
      <c r="AC51" s="2" t="s">
        <v>593</v>
      </c>
      <c r="AD51" s="2" t="s">
        <v>594</v>
      </c>
      <c r="AE51" s="2" t="s">
        <v>595</v>
      </c>
      <c r="AF51" s="4" t="s">
        <v>215</v>
      </c>
      <c r="AG51" s="6" t="s">
        <v>596</v>
      </c>
    </row>
    <row r="52" spans="1:33" ht="52">
      <c r="A52" s="8">
        <v>48</v>
      </c>
      <c r="B52" s="9" t="str">
        <f t="shared" si="3"/>
        <v>B-重点关注</v>
      </c>
      <c r="C52" s="2" t="s">
        <v>597</v>
      </c>
      <c r="D52" s="9" t="s">
        <v>259</v>
      </c>
      <c r="E52" s="4" t="s">
        <v>260</v>
      </c>
      <c r="F52" s="12" t="s">
        <v>38</v>
      </c>
      <c r="G52" s="12" t="s">
        <v>39</v>
      </c>
      <c r="H52" s="12" t="s">
        <v>69</v>
      </c>
      <c r="I52" s="9" t="s">
        <v>598</v>
      </c>
      <c r="J52" s="9" t="s">
        <v>204</v>
      </c>
      <c r="K52" s="9">
        <v>2025</v>
      </c>
      <c r="L52" s="4" t="s">
        <v>599</v>
      </c>
      <c r="M52" s="4" t="s">
        <v>600</v>
      </c>
      <c r="N52" s="12" t="s">
        <v>45</v>
      </c>
      <c r="O52" s="16">
        <v>5</v>
      </c>
      <c r="P52" s="16">
        <v>5</v>
      </c>
      <c r="Q52" s="16">
        <v>1</v>
      </c>
      <c r="R52" s="16">
        <v>2</v>
      </c>
      <c r="S52" s="16">
        <f t="shared" si="4"/>
        <v>90</v>
      </c>
      <c r="T52" s="16">
        <f t="shared" si="5"/>
        <v>90</v>
      </c>
      <c r="U52" s="4" t="s">
        <v>601</v>
      </c>
      <c r="V52" s="2" t="s">
        <v>602</v>
      </c>
      <c r="W52" s="9">
        <v>2026</v>
      </c>
      <c r="X52" s="14">
        <v>6.4</v>
      </c>
      <c r="Y52" s="9">
        <v>2023</v>
      </c>
      <c r="Z52" s="2" t="s">
        <v>603</v>
      </c>
      <c r="AA52" s="2" t="s">
        <v>604</v>
      </c>
      <c r="AB52" s="2" t="s">
        <v>605</v>
      </c>
      <c r="AC52" s="2" t="s">
        <v>267</v>
      </c>
      <c r="AD52" s="2" t="s">
        <v>606</v>
      </c>
      <c r="AE52" s="2" t="s">
        <v>607</v>
      </c>
      <c r="AF52" s="4" t="s">
        <v>215</v>
      </c>
      <c r="AG52" s="6" t="s">
        <v>608</v>
      </c>
    </row>
    <row r="53" spans="1:33" ht="52">
      <c r="A53" s="8">
        <v>49</v>
      </c>
      <c r="B53" s="9" t="str">
        <f t="shared" si="3"/>
        <v>B-重点关注</v>
      </c>
      <c r="C53" s="2" t="s">
        <v>609</v>
      </c>
      <c r="D53" s="9" t="s">
        <v>348</v>
      </c>
      <c r="E53" s="4" t="s">
        <v>610</v>
      </c>
      <c r="F53" s="12" t="s">
        <v>38</v>
      </c>
      <c r="G53" s="12" t="s">
        <v>39</v>
      </c>
      <c r="H53" s="12" t="s">
        <v>69</v>
      </c>
      <c r="I53" s="9" t="s">
        <v>611</v>
      </c>
      <c r="J53" s="9" t="s">
        <v>204</v>
      </c>
      <c r="K53" s="9">
        <v>2026</v>
      </c>
      <c r="L53" s="4" t="s">
        <v>612</v>
      </c>
      <c r="M53" s="4" t="s">
        <v>613</v>
      </c>
      <c r="N53" s="12" t="s">
        <v>45</v>
      </c>
      <c r="O53" s="16">
        <v>5</v>
      </c>
      <c r="P53" s="16">
        <v>5</v>
      </c>
      <c r="Q53" s="16">
        <v>1</v>
      </c>
      <c r="R53" s="16">
        <v>2</v>
      </c>
      <c r="S53" s="16">
        <f t="shared" si="4"/>
        <v>90</v>
      </c>
      <c r="T53" s="16">
        <f t="shared" si="5"/>
        <v>90</v>
      </c>
      <c r="U53" s="4" t="s">
        <v>614</v>
      </c>
      <c r="V53" s="2" t="s">
        <v>62</v>
      </c>
      <c r="W53" s="9">
        <v>2026</v>
      </c>
      <c r="X53" s="14">
        <v>18.100000000000001</v>
      </c>
      <c r="Y53" s="9">
        <v>2025</v>
      </c>
      <c r="Z53" s="2" t="s">
        <v>615</v>
      </c>
      <c r="AA53" s="2" t="s">
        <v>64</v>
      </c>
      <c r="AB53" s="2" t="s">
        <v>616</v>
      </c>
      <c r="AC53" s="2" t="s">
        <v>559</v>
      </c>
      <c r="AD53" s="2" t="s">
        <v>617</v>
      </c>
      <c r="AE53" s="2" t="s">
        <v>618</v>
      </c>
      <c r="AF53" s="4" t="s">
        <v>215</v>
      </c>
      <c r="AG53" s="6" t="s">
        <v>619</v>
      </c>
    </row>
    <row r="54" spans="1:33" ht="26">
      <c r="A54" s="8">
        <v>50</v>
      </c>
      <c r="B54" s="9" t="str">
        <f t="shared" si="3"/>
        <v>B-重点关注</v>
      </c>
      <c r="C54" s="2" t="s">
        <v>620</v>
      </c>
      <c r="D54" s="9" t="s">
        <v>348</v>
      </c>
      <c r="E54" s="4" t="s">
        <v>552</v>
      </c>
      <c r="F54" s="12" t="s">
        <v>300</v>
      </c>
      <c r="G54" s="12" t="s">
        <v>39</v>
      </c>
      <c r="H54" s="12" t="s">
        <v>69</v>
      </c>
      <c r="I54" s="9" t="s">
        <v>621</v>
      </c>
      <c r="J54" s="9" t="s">
        <v>204</v>
      </c>
      <c r="K54" s="9">
        <v>2025</v>
      </c>
      <c r="L54" s="4" t="s">
        <v>622</v>
      </c>
      <c r="M54" s="4" t="s">
        <v>623</v>
      </c>
      <c r="N54" s="12" t="s">
        <v>45</v>
      </c>
      <c r="O54" s="16">
        <v>5</v>
      </c>
      <c r="P54" s="16">
        <v>5</v>
      </c>
      <c r="Q54" s="16">
        <v>1</v>
      </c>
      <c r="R54" s="16">
        <v>2</v>
      </c>
      <c r="S54" s="16">
        <f t="shared" si="4"/>
        <v>90</v>
      </c>
      <c r="T54" s="16">
        <f t="shared" si="5"/>
        <v>90</v>
      </c>
      <c r="U54" s="4" t="s">
        <v>624</v>
      </c>
      <c r="V54" s="2" t="s">
        <v>625</v>
      </c>
      <c r="W54" s="9">
        <v>2025</v>
      </c>
      <c r="X54" s="14">
        <v>21</v>
      </c>
      <c r="Y54" s="9">
        <v>2024</v>
      </c>
      <c r="Z54" s="2" t="s">
        <v>626</v>
      </c>
      <c r="AA54" s="2" t="s">
        <v>627</v>
      </c>
      <c r="AB54" s="2" t="s">
        <v>628</v>
      </c>
      <c r="AC54" s="2"/>
      <c r="AD54" s="2" t="s">
        <v>629</v>
      </c>
      <c r="AE54" s="2" t="s">
        <v>630</v>
      </c>
      <c r="AF54" s="4" t="s">
        <v>215</v>
      </c>
      <c r="AG54" s="6" t="s">
        <v>631</v>
      </c>
    </row>
    <row r="55" spans="1:33" ht="26">
      <c r="A55" s="8">
        <v>51</v>
      </c>
      <c r="B55" s="9" t="str">
        <f t="shared" si="3"/>
        <v>B-重点关注</v>
      </c>
      <c r="C55" s="2" t="s">
        <v>632</v>
      </c>
      <c r="D55" s="9" t="s">
        <v>285</v>
      </c>
      <c r="E55" s="4" t="s">
        <v>286</v>
      </c>
      <c r="F55" s="12" t="s">
        <v>38</v>
      </c>
      <c r="G55" s="12" t="s">
        <v>39</v>
      </c>
      <c r="H55" s="12" t="s">
        <v>69</v>
      </c>
      <c r="I55" s="9" t="s">
        <v>633</v>
      </c>
      <c r="J55" s="9" t="s">
        <v>204</v>
      </c>
      <c r="K55" s="9">
        <v>2024</v>
      </c>
      <c r="L55" s="4" t="s">
        <v>634</v>
      </c>
      <c r="M55" s="4" t="s">
        <v>635</v>
      </c>
      <c r="N55" s="12" t="s">
        <v>45</v>
      </c>
      <c r="O55" s="16">
        <v>5</v>
      </c>
      <c r="P55" s="16">
        <v>5</v>
      </c>
      <c r="Q55" s="16">
        <v>1</v>
      </c>
      <c r="R55" s="16">
        <v>2</v>
      </c>
      <c r="S55" s="16">
        <f t="shared" si="4"/>
        <v>90</v>
      </c>
      <c r="T55" s="16">
        <f t="shared" si="5"/>
        <v>90</v>
      </c>
      <c r="U55" s="4" t="s">
        <v>636</v>
      </c>
      <c r="V55" s="2" t="s">
        <v>154</v>
      </c>
      <c r="W55" s="9">
        <v>2024</v>
      </c>
      <c r="X55" s="14">
        <v>15</v>
      </c>
      <c r="Y55" s="9">
        <v>2025</v>
      </c>
      <c r="Z55" s="2" t="s">
        <v>637</v>
      </c>
      <c r="AA55" s="2" t="s">
        <v>156</v>
      </c>
      <c r="AB55" s="2" t="s">
        <v>638</v>
      </c>
      <c r="AC55" s="2" t="s">
        <v>293</v>
      </c>
      <c r="AD55" s="2" t="s">
        <v>639</v>
      </c>
      <c r="AE55" s="2" t="s">
        <v>640</v>
      </c>
      <c r="AF55" s="4" t="s">
        <v>215</v>
      </c>
      <c r="AG55" s="6" t="s">
        <v>641</v>
      </c>
    </row>
    <row r="56" spans="1:33" ht="26">
      <c r="A56" s="8">
        <v>52</v>
      </c>
      <c r="B56" s="9" t="str">
        <f t="shared" si="3"/>
        <v>B-重点关注</v>
      </c>
      <c r="C56" s="2" t="s">
        <v>642</v>
      </c>
      <c r="D56" s="9" t="s">
        <v>285</v>
      </c>
      <c r="E56" s="4" t="s">
        <v>286</v>
      </c>
      <c r="F56" s="12" t="s">
        <v>300</v>
      </c>
      <c r="G56" s="12" t="s">
        <v>39</v>
      </c>
      <c r="H56" s="12" t="s">
        <v>69</v>
      </c>
      <c r="I56" s="9" t="s">
        <v>643</v>
      </c>
      <c r="J56" s="9" t="s">
        <v>204</v>
      </c>
      <c r="K56" s="9">
        <v>2026</v>
      </c>
      <c r="L56" s="4" t="s">
        <v>644</v>
      </c>
      <c r="M56" s="4" t="s">
        <v>645</v>
      </c>
      <c r="N56" s="12" t="s">
        <v>45</v>
      </c>
      <c r="O56" s="16">
        <v>5</v>
      </c>
      <c r="P56" s="16">
        <v>5</v>
      </c>
      <c r="Q56" s="16">
        <v>1</v>
      </c>
      <c r="R56" s="16">
        <v>2</v>
      </c>
      <c r="S56" s="16">
        <f t="shared" si="4"/>
        <v>90</v>
      </c>
      <c r="T56" s="16">
        <f t="shared" si="5"/>
        <v>90</v>
      </c>
      <c r="U56" s="4" t="s">
        <v>646</v>
      </c>
      <c r="V56" s="2" t="s">
        <v>154</v>
      </c>
      <c r="W56" s="9">
        <v>2026</v>
      </c>
      <c r="X56" s="14">
        <v>15</v>
      </c>
      <c r="Y56" s="9">
        <v>2025</v>
      </c>
      <c r="Z56" s="2" t="s">
        <v>647</v>
      </c>
      <c r="AA56" s="2" t="s">
        <v>156</v>
      </c>
      <c r="AB56" s="2" t="s">
        <v>648</v>
      </c>
      <c r="AC56" s="2"/>
      <c r="AD56" s="2" t="s">
        <v>649</v>
      </c>
      <c r="AE56" s="2" t="s">
        <v>650</v>
      </c>
      <c r="AF56" s="4" t="s">
        <v>215</v>
      </c>
      <c r="AG56" s="6" t="s">
        <v>651</v>
      </c>
    </row>
    <row r="57" spans="1:33" ht="104">
      <c r="A57" s="8">
        <v>53</v>
      </c>
      <c r="B57" s="9" t="str">
        <f t="shared" si="3"/>
        <v>B-重点关注</v>
      </c>
      <c r="C57" s="2" t="s">
        <v>652</v>
      </c>
      <c r="D57" s="9" t="s">
        <v>162</v>
      </c>
      <c r="E57" s="4" t="s">
        <v>163</v>
      </c>
      <c r="F57" s="12" t="s">
        <v>300</v>
      </c>
      <c r="G57" s="12" t="s">
        <v>39</v>
      </c>
      <c r="H57" s="12" t="s">
        <v>81</v>
      </c>
      <c r="I57" s="9" t="s">
        <v>653</v>
      </c>
      <c r="J57" s="9" t="s">
        <v>204</v>
      </c>
      <c r="K57" s="9">
        <v>2026</v>
      </c>
      <c r="L57" s="4" t="s">
        <v>654</v>
      </c>
      <c r="M57" s="4" t="s">
        <v>655</v>
      </c>
      <c r="N57" s="12" t="s">
        <v>45</v>
      </c>
      <c r="O57" s="16">
        <v>5</v>
      </c>
      <c r="P57" s="16">
        <v>5</v>
      </c>
      <c r="Q57" s="16">
        <v>1</v>
      </c>
      <c r="R57" s="16">
        <v>2</v>
      </c>
      <c r="S57" s="16">
        <f t="shared" si="4"/>
        <v>90</v>
      </c>
      <c r="T57" s="16">
        <f t="shared" si="5"/>
        <v>90</v>
      </c>
      <c r="U57" s="4" t="s">
        <v>656</v>
      </c>
      <c r="V57" s="2" t="s">
        <v>657</v>
      </c>
      <c r="W57" s="9">
        <v>2026</v>
      </c>
      <c r="X57" s="14">
        <v>11.2</v>
      </c>
      <c r="Y57" s="9">
        <v>2024</v>
      </c>
      <c r="Z57" s="2" t="s">
        <v>658</v>
      </c>
      <c r="AA57" s="2" t="s">
        <v>659</v>
      </c>
      <c r="AB57" s="2" t="s">
        <v>660</v>
      </c>
      <c r="AC57" s="2"/>
      <c r="AD57" s="2" t="s">
        <v>661</v>
      </c>
      <c r="AE57" s="2" t="s">
        <v>662</v>
      </c>
      <c r="AF57" s="4" t="s">
        <v>215</v>
      </c>
      <c r="AG57" s="6" t="s">
        <v>663</v>
      </c>
    </row>
    <row r="58" spans="1:33" ht="26">
      <c r="A58" s="8">
        <v>54</v>
      </c>
      <c r="B58" s="9" t="str">
        <f t="shared" si="3"/>
        <v>B-重点关注</v>
      </c>
      <c r="C58" s="2" t="s">
        <v>664</v>
      </c>
      <c r="D58" s="9" t="s">
        <v>162</v>
      </c>
      <c r="E58" s="4" t="s">
        <v>665</v>
      </c>
      <c r="F58" s="12" t="s">
        <v>38</v>
      </c>
      <c r="G58" s="12" t="s">
        <v>39</v>
      </c>
      <c r="H58" s="12" t="s">
        <v>81</v>
      </c>
      <c r="I58" s="9" t="s">
        <v>666</v>
      </c>
      <c r="J58" s="9" t="s">
        <v>234</v>
      </c>
      <c r="K58" s="9">
        <v>2021</v>
      </c>
      <c r="L58" s="4" t="s">
        <v>667</v>
      </c>
      <c r="M58" s="4" t="s">
        <v>668</v>
      </c>
      <c r="N58" s="12" t="s">
        <v>45</v>
      </c>
      <c r="O58" s="16">
        <v>5</v>
      </c>
      <c r="P58" s="16">
        <v>5</v>
      </c>
      <c r="Q58" s="16">
        <v>1</v>
      </c>
      <c r="R58" s="16">
        <v>2</v>
      </c>
      <c r="S58" s="16">
        <f t="shared" si="4"/>
        <v>90</v>
      </c>
      <c r="T58" s="16">
        <f t="shared" si="5"/>
        <v>90</v>
      </c>
      <c r="U58" s="4" t="s">
        <v>669</v>
      </c>
      <c r="V58" s="2" t="s">
        <v>670</v>
      </c>
      <c r="W58" s="9">
        <v>2024</v>
      </c>
      <c r="X58" s="14">
        <v>50</v>
      </c>
      <c r="Y58" s="9">
        <v>2024</v>
      </c>
      <c r="Z58" s="2" t="s">
        <v>671</v>
      </c>
      <c r="AA58" s="2" t="s">
        <v>672</v>
      </c>
      <c r="AB58" s="2" t="s">
        <v>673</v>
      </c>
      <c r="AC58" s="2" t="s">
        <v>674</v>
      </c>
      <c r="AD58" s="2" t="s">
        <v>675</v>
      </c>
      <c r="AE58" s="2"/>
      <c r="AF58" s="4" t="s">
        <v>676</v>
      </c>
      <c r="AG58" s="6" t="s">
        <v>677</v>
      </c>
    </row>
    <row r="59" spans="1:33" ht="39">
      <c r="A59" s="8">
        <v>55</v>
      </c>
      <c r="B59" s="9" t="str">
        <f t="shared" si="3"/>
        <v>B-重点关注</v>
      </c>
      <c r="C59" s="2" t="s">
        <v>678</v>
      </c>
      <c r="D59" s="9" t="s">
        <v>348</v>
      </c>
      <c r="E59" s="4" t="s">
        <v>679</v>
      </c>
      <c r="F59" s="12" t="s">
        <v>300</v>
      </c>
      <c r="G59" s="12" t="s">
        <v>39</v>
      </c>
      <c r="H59" s="12" t="s">
        <v>81</v>
      </c>
      <c r="I59" s="9" t="s">
        <v>680</v>
      </c>
      <c r="J59" s="9" t="s">
        <v>204</v>
      </c>
      <c r="K59" s="9">
        <v>2025</v>
      </c>
      <c r="L59" s="4" t="s">
        <v>681</v>
      </c>
      <c r="M59" s="4" t="s">
        <v>682</v>
      </c>
      <c r="N59" s="12" t="s">
        <v>45</v>
      </c>
      <c r="O59" s="16">
        <v>5</v>
      </c>
      <c r="P59" s="16">
        <v>5</v>
      </c>
      <c r="Q59" s="16">
        <v>1</v>
      </c>
      <c r="R59" s="16">
        <v>2</v>
      </c>
      <c r="S59" s="16">
        <f t="shared" si="4"/>
        <v>90</v>
      </c>
      <c r="T59" s="16">
        <f t="shared" si="5"/>
        <v>90</v>
      </c>
      <c r="U59" s="4" t="s">
        <v>683</v>
      </c>
      <c r="V59" s="2" t="s">
        <v>684</v>
      </c>
      <c r="W59" s="9">
        <v>2025</v>
      </c>
      <c r="X59" s="14">
        <v>32.1</v>
      </c>
      <c r="Y59" s="9">
        <v>2024</v>
      </c>
      <c r="Z59" s="2" t="s">
        <v>685</v>
      </c>
      <c r="AA59" s="2" t="s">
        <v>686</v>
      </c>
      <c r="AB59" s="2" t="s">
        <v>687</v>
      </c>
      <c r="AC59" s="2"/>
      <c r="AD59" s="2" t="s">
        <v>688</v>
      </c>
      <c r="AE59" s="2" t="s">
        <v>689</v>
      </c>
      <c r="AF59" s="4" t="s">
        <v>215</v>
      </c>
      <c r="AG59" s="6" t="s">
        <v>690</v>
      </c>
    </row>
    <row r="60" spans="1:33" ht="26">
      <c r="A60" s="8">
        <v>56</v>
      </c>
      <c r="B60" s="9" t="str">
        <f t="shared" si="3"/>
        <v>B-重点关注</v>
      </c>
      <c r="C60" s="2" t="s">
        <v>691</v>
      </c>
      <c r="D60" s="9" t="s">
        <v>348</v>
      </c>
      <c r="E60" s="4" t="s">
        <v>349</v>
      </c>
      <c r="F60" s="12" t="s">
        <v>38</v>
      </c>
      <c r="G60" s="12" t="s">
        <v>39</v>
      </c>
      <c r="H60" s="12" t="s">
        <v>40</v>
      </c>
      <c r="I60" s="9" t="s">
        <v>692</v>
      </c>
      <c r="J60" s="9" t="s">
        <v>204</v>
      </c>
      <c r="K60" s="9">
        <v>2024</v>
      </c>
      <c r="L60" s="4" t="s">
        <v>693</v>
      </c>
      <c r="M60" s="4" t="s">
        <v>694</v>
      </c>
      <c r="N60" s="12" t="s">
        <v>45</v>
      </c>
      <c r="O60" s="16">
        <v>5</v>
      </c>
      <c r="P60" s="16">
        <v>5</v>
      </c>
      <c r="Q60" s="16">
        <v>1</v>
      </c>
      <c r="R60" s="16">
        <v>2</v>
      </c>
      <c r="S60" s="16">
        <f t="shared" si="4"/>
        <v>90</v>
      </c>
      <c r="T60" s="16">
        <f t="shared" si="5"/>
        <v>90</v>
      </c>
      <c r="U60" s="4" t="s">
        <v>695</v>
      </c>
      <c r="V60" s="2" t="s">
        <v>109</v>
      </c>
      <c r="W60" s="9">
        <v>2025</v>
      </c>
      <c r="X60" s="14">
        <v>48.5</v>
      </c>
      <c r="Y60" s="9">
        <v>2024</v>
      </c>
      <c r="Z60" s="2" t="s">
        <v>696</v>
      </c>
      <c r="AA60" s="2" t="s">
        <v>111</v>
      </c>
      <c r="AB60" s="2" t="s">
        <v>697</v>
      </c>
      <c r="AC60" s="2" t="s">
        <v>356</v>
      </c>
      <c r="AD60" s="2" t="s">
        <v>698</v>
      </c>
      <c r="AE60" s="2" t="s">
        <v>699</v>
      </c>
      <c r="AF60" s="4" t="s">
        <v>215</v>
      </c>
      <c r="AG60" s="6" t="s">
        <v>700</v>
      </c>
    </row>
    <row r="61" spans="1:33" ht="26">
      <c r="A61" s="8">
        <v>57</v>
      </c>
      <c r="B61" s="9" t="str">
        <f t="shared" si="3"/>
        <v>B-重点关注</v>
      </c>
      <c r="C61" s="2" t="s">
        <v>701</v>
      </c>
      <c r="D61" s="9" t="s">
        <v>259</v>
      </c>
      <c r="E61" s="4" t="s">
        <v>575</v>
      </c>
      <c r="F61" s="12" t="s">
        <v>38</v>
      </c>
      <c r="G61" s="12" t="s">
        <v>39</v>
      </c>
      <c r="H61" s="12" t="s">
        <v>69</v>
      </c>
      <c r="I61" s="9" t="s">
        <v>702</v>
      </c>
      <c r="J61" s="9" t="s">
        <v>204</v>
      </c>
      <c r="K61" s="9">
        <v>2025</v>
      </c>
      <c r="L61" s="4" t="s">
        <v>703</v>
      </c>
      <c r="M61" s="4" t="s">
        <v>704</v>
      </c>
      <c r="N61" s="12" t="s">
        <v>45</v>
      </c>
      <c r="O61" s="16">
        <v>5</v>
      </c>
      <c r="P61" s="16">
        <v>5</v>
      </c>
      <c r="Q61" s="16">
        <v>1</v>
      </c>
      <c r="R61" s="16">
        <v>2</v>
      </c>
      <c r="S61" s="16">
        <f t="shared" si="4"/>
        <v>90</v>
      </c>
      <c r="T61" s="16">
        <f t="shared" si="5"/>
        <v>90</v>
      </c>
      <c r="U61" s="4" t="s">
        <v>705</v>
      </c>
      <c r="V61" s="2" t="s">
        <v>62</v>
      </c>
      <c r="W61" s="9">
        <v>2025</v>
      </c>
      <c r="X61" s="14">
        <v>18.100000000000001</v>
      </c>
      <c r="Y61" s="9">
        <v>2025</v>
      </c>
      <c r="Z61" s="2" t="s">
        <v>706</v>
      </c>
      <c r="AA61" s="2" t="s">
        <v>64</v>
      </c>
      <c r="AB61" s="2" t="s">
        <v>707</v>
      </c>
      <c r="AC61" s="2" t="s">
        <v>708</v>
      </c>
      <c r="AD61" s="2" t="s">
        <v>709</v>
      </c>
      <c r="AE61" s="2" t="s">
        <v>710</v>
      </c>
      <c r="AF61" s="4" t="s">
        <v>215</v>
      </c>
      <c r="AG61" s="6" t="s">
        <v>711</v>
      </c>
    </row>
    <row r="62" spans="1:33" ht="39">
      <c r="A62" s="8">
        <v>58</v>
      </c>
      <c r="B62" s="9" t="str">
        <f t="shared" si="3"/>
        <v>B-重点关注</v>
      </c>
      <c r="C62" s="2" t="s">
        <v>712</v>
      </c>
      <c r="D62" s="9" t="s">
        <v>162</v>
      </c>
      <c r="E62" s="4" t="s">
        <v>713</v>
      </c>
      <c r="F62" s="12" t="s">
        <v>38</v>
      </c>
      <c r="G62" s="12" t="s">
        <v>39</v>
      </c>
      <c r="H62" s="12" t="s">
        <v>138</v>
      </c>
      <c r="I62" s="9" t="s">
        <v>714</v>
      </c>
      <c r="J62" s="9" t="s">
        <v>204</v>
      </c>
      <c r="K62" s="9">
        <v>2025</v>
      </c>
      <c r="L62" s="4" t="s">
        <v>715</v>
      </c>
      <c r="M62" s="4" t="s">
        <v>716</v>
      </c>
      <c r="N62" s="12" t="s">
        <v>45</v>
      </c>
      <c r="O62" s="16">
        <v>5</v>
      </c>
      <c r="P62" s="16">
        <v>5</v>
      </c>
      <c r="Q62" s="16">
        <v>1</v>
      </c>
      <c r="R62" s="16">
        <v>2</v>
      </c>
      <c r="S62" s="16">
        <f t="shared" si="4"/>
        <v>90</v>
      </c>
      <c r="T62" s="16">
        <f t="shared" si="5"/>
        <v>90</v>
      </c>
      <c r="U62" s="4" t="s">
        <v>717</v>
      </c>
      <c r="V62" s="2" t="s">
        <v>718</v>
      </c>
      <c r="W62" s="9">
        <v>2024</v>
      </c>
      <c r="X62" s="14">
        <v>21.2</v>
      </c>
      <c r="Y62" s="9">
        <v>2024</v>
      </c>
      <c r="Z62" s="2" t="s">
        <v>719</v>
      </c>
      <c r="AA62" s="2" t="s">
        <v>720</v>
      </c>
      <c r="AB62" s="2" t="s">
        <v>721</v>
      </c>
      <c r="AC62" s="2" t="s">
        <v>722</v>
      </c>
      <c r="AD62" s="2" t="s">
        <v>723</v>
      </c>
      <c r="AE62" s="2" t="s">
        <v>724</v>
      </c>
      <c r="AF62" s="4" t="s">
        <v>215</v>
      </c>
      <c r="AG62" s="6" t="s">
        <v>725</v>
      </c>
    </row>
    <row r="63" spans="1:33" ht="26">
      <c r="A63" s="8">
        <v>59</v>
      </c>
      <c r="B63" s="9" t="str">
        <f t="shared" si="3"/>
        <v>B-重点关注</v>
      </c>
      <c r="C63" s="2" t="s">
        <v>726</v>
      </c>
      <c r="D63" s="9" t="s">
        <v>727</v>
      </c>
      <c r="E63" s="4" t="s">
        <v>728</v>
      </c>
      <c r="F63" s="12" t="s">
        <v>38</v>
      </c>
      <c r="G63" s="12" t="s">
        <v>39</v>
      </c>
      <c r="H63" s="12" t="s">
        <v>40</v>
      </c>
      <c r="I63" s="9" t="s">
        <v>729</v>
      </c>
      <c r="J63" s="9" t="s">
        <v>204</v>
      </c>
      <c r="K63" s="9">
        <v>2026</v>
      </c>
      <c r="L63" s="4" t="s">
        <v>730</v>
      </c>
      <c r="M63" s="4" t="s">
        <v>412</v>
      </c>
      <c r="N63" s="12" t="s">
        <v>45</v>
      </c>
      <c r="O63" s="16">
        <v>5</v>
      </c>
      <c r="P63" s="16">
        <v>5</v>
      </c>
      <c r="Q63" s="16">
        <v>1</v>
      </c>
      <c r="R63" s="16">
        <v>2</v>
      </c>
      <c r="S63" s="16">
        <f t="shared" si="4"/>
        <v>90</v>
      </c>
      <c r="T63" s="16">
        <f t="shared" si="5"/>
        <v>90</v>
      </c>
      <c r="U63" s="4" t="s">
        <v>731</v>
      </c>
      <c r="V63" s="2" t="s">
        <v>154</v>
      </c>
      <c r="W63" s="9">
        <v>2025</v>
      </c>
      <c r="X63" s="14">
        <v>15</v>
      </c>
      <c r="Y63" s="9">
        <v>2025</v>
      </c>
      <c r="Z63" s="2" t="s">
        <v>732</v>
      </c>
      <c r="AA63" s="2" t="s">
        <v>156</v>
      </c>
      <c r="AB63" s="2" t="s">
        <v>733</v>
      </c>
      <c r="AC63" s="2" t="s">
        <v>734</v>
      </c>
      <c r="AD63" s="2" t="s">
        <v>735</v>
      </c>
      <c r="AE63" s="2" t="s">
        <v>736</v>
      </c>
      <c r="AF63" s="4" t="s">
        <v>215</v>
      </c>
      <c r="AG63" s="6" t="s">
        <v>737</v>
      </c>
    </row>
    <row r="64" spans="1:33" ht="26">
      <c r="A64" s="8">
        <v>60</v>
      </c>
      <c r="B64" s="9" t="str">
        <f t="shared" si="3"/>
        <v>B-重点关注</v>
      </c>
      <c r="C64" s="2" t="s">
        <v>738</v>
      </c>
      <c r="D64" s="9" t="s">
        <v>739</v>
      </c>
      <c r="E64" s="4" t="s">
        <v>740</v>
      </c>
      <c r="F64" s="12" t="s">
        <v>38</v>
      </c>
      <c r="G64" s="12" t="s">
        <v>39</v>
      </c>
      <c r="H64" s="12" t="s">
        <v>81</v>
      </c>
      <c r="I64" s="9" t="s">
        <v>741</v>
      </c>
      <c r="J64" s="9" t="s">
        <v>204</v>
      </c>
      <c r="K64" s="9">
        <v>2026</v>
      </c>
      <c r="L64" s="4" t="s">
        <v>742</v>
      </c>
      <c r="M64" s="4" t="s">
        <v>743</v>
      </c>
      <c r="N64" s="12" t="s">
        <v>45</v>
      </c>
      <c r="O64" s="16">
        <v>5</v>
      </c>
      <c r="P64" s="16">
        <v>5</v>
      </c>
      <c r="Q64" s="16">
        <v>1</v>
      </c>
      <c r="R64" s="16">
        <v>2</v>
      </c>
      <c r="S64" s="16">
        <f t="shared" si="4"/>
        <v>90</v>
      </c>
      <c r="T64" s="16">
        <f t="shared" si="5"/>
        <v>90</v>
      </c>
      <c r="U64" s="4" t="s">
        <v>744</v>
      </c>
      <c r="V64" s="2" t="s">
        <v>426</v>
      </c>
      <c r="W64" s="9">
        <v>2025</v>
      </c>
      <c r="X64" s="14">
        <v>19.399999999999999</v>
      </c>
      <c r="Y64" s="9">
        <v>2024</v>
      </c>
      <c r="Z64" s="2" t="s">
        <v>745</v>
      </c>
      <c r="AA64" s="2" t="s">
        <v>428</v>
      </c>
      <c r="AB64" s="2" t="s">
        <v>746</v>
      </c>
      <c r="AC64" s="2" t="s">
        <v>747</v>
      </c>
      <c r="AD64" s="2" t="s">
        <v>748</v>
      </c>
      <c r="AE64" s="2" t="s">
        <v>749</v>
      </c>
      <c r="AF64" s="4" t="s">
        <v>215</v>
      </c>
      <c r="AG64" s="6" t="s">
        <v>750</v>
      </c>
    </row>
    <row r="65" spans="1:33" ht="26">
      <c r="A65" s="8">
        <v>61</v>
      </c>
      <c r="B65" s="9" t="str">
        <f t="shared" si="3"/>
        <v>B-重点关注</v>
      </c>
      <c r="C65" s="2" t="s">
        <v>751</v>
      </c>
      <c r="D65" s="9" t="s">
        <v>752</v>
      </c>
      <c r="E65" s="4" t="s">
        <v>753</v>
      </c>
      <c r="F65" s="12" t="s">
        <v>38</v>
      </c>
      <c r="G65" s="12" t="s">
        <v>39</v>
      </c>
      <c r="H65" s="12" t="s">
        <v>69</v>
      </c>
      <c r="I65" s="9" t="s">
        <v>754</v>
      </c>
      <c r="J65" s="9" t="s">
        <v>204</v>
      </c>
      <c r="K65" s="9">
        <v>2025</v>
      </c>
      <c r="L65" s="4" t="s">
        <v>755</v>
      </c>
      <c r="M65" s="4" t="s">
        <v>756</v>
      </c>
      <c r="N65" s="12" t="s">
        <v>45</v>
      </c>
      <c r="O65" s="16">
        <v>5</v>
      </c>
      <c r="P65" s="16">
        <v>5</v>
      </c>
      <c r="Q65" s="16">
        <v>1</v>
      </c>
      <c r="R65" s="16">
        <v>2</v>
      </c>
      <c r="S65" s="16">
        <f t="shared" si="4"/>
        <v>90</v>
      </c>
      <c r="T65" s="16">
        <f t="shared" si="5"/>
        <v>90</v>
      </c>
      <c r="U65" s="4" t="s">
        <v>757</v>
      </c>
      <c r="V65" s="2" t="s">
        <v>390</v>
      </c>
      <c r="W65" s="9">
        <v>2025</v>
      </c>
      <c r="X65" s="14">
        <v>9.4</v>
      </c>
      <c r="Y65" s="9">
        <v>2024</v>
      </c>
      <c r="Z65" s="2" t="s">
        <v>758</v>
      </c>
      <c r="AA65" s="2" t="s">
        <v>392</v>
      </c>
      <c r="AB65" s="2" t="s">
        <v>605</v>
      </c>
      <c r="AC65" s="2" t="s">
        <v>759</v>
      </c>
      <c r="AD65" s="2" t="s">
        <v>760</v>
      </c>
      <c r="AE65" s="2" t="s">
        <v>761</v>
      </c>
      <c r="AF65" s="4" t="s">
        <v>215</v>
      </c>
      <c r="AG65" s="6" t="s">
        <v>762</v>
      </c>
    </row>
    <row r="66" spans="1:33" ht="26">
      <c r="A66" s="8">
        <v>62</v>
      </c>
      <c r="B66" s="9" t="str">
        <f t="shared" si="3"/>
        <v>B-重点关注</v>
      </c>
      <c r="C66" s="2" t="s">
        <v>763</v>
      </c>
      <c r="D66" s="9" t="s">
        <v>361</v>
      </c>
      <c r="E66" s="4" t="s">
        <v>764</v>
      </c>
      <c r="F66" s="12" t="s">
        <v>38</v>
      </c>
      <c r="G66" s="12" t="s">
        <v>39</v>
      </c>
      <c r="H66" s="12" t="s">
        <v>81</v>
      </c>
      <c r="I66" s="9" t="s">
        <v>765</v>
      </c>
      <c r="J66" s="9" t="s">
        <v>204</v>
      </c>
      <c r="K66" s="9">
        <v>2026</v>
      </c>
      <c r="L66" s="4" t="s">
        <v>766</v>
      </c>
      <c r="M66" s="4" t="s">
        <v>767</v>
      </c>
      <c r="N66" s="12" t="s">
        <v>45</v>
      </c>
      <c r="O66" s="16">
        <v>5</v>
      </c>
      <c r="P66" s="16">
        <v>5</v>
      </c>
      <c r="Q66" s="16">
        <v>1</v>
      </c>
      <c r="R66" s="16">
        <v>2</v>
      </c>
      <c r="S66" s="16">
        <f t="shared" si="4"/>
        <v>90</v>
      </c>
      <c r="T66" s="16">
        <f t="shared" si="5"/>
        <v>90</v>
      </c>
      <c r="U66" s="4" t="s">
        <v>768</v>
      </c>
      <c r="V66" s="2" t="s">
        <v>154</v>
      </c>
      <c r="W66" s="9">
        <v>2026</v>
      </c>
      <c r="X66" s="14">
        <v>15</v>
      </c>
      <c r="Y66" s="9">
        <v>2025</v>
      </c>
      <c r="Z66" s="2" t="s">
        <v>769</v>
      </c>
      <c r="AA66" s="2" t="s">
        <v>156</v>
      </c>
      <c r="AB66" s="2" t="s">
        <v>770</v>
      </c>
      <c r="AC66" s="2" t="s">
        <v>771</v>
      </c>
      <c r="AD66" s="2" t="s">
        <v>772</v>
      </c>
      <c r="AE66" s="2"/>
      <c r="AF66" s="4" t="s">
        <v>215</v>
      </c>
      <c r="AG66" s="6" t="s">
        <v>773</v>
      </c>
    </row>
    <row r="67" spans="1:33" ht="39">
      <c r="A67" s="8">
        <v>63</v>
      </c>
      <c r="B67" s="9" t="str">
        <f t="shared" si="3"/>
        <v>B-重点关注</v>
      </c>
      <c r="C67" s="2" t="s">
        <v>774</v>
      </c>
      <c r="D67" s="9" t="s">
        <v>103</v>
      </c>
      <c r="E67" s="4" t="s">
        <v>443</v>
      </c>
      <c r="F67" s="12" t="s">
        <v>300</v>
      </c>
      <c r="G67" s="12" t="s">
        <v>39</v>
      </c>
      <c r="H67" s="12" t="s">
        <v>138</v>
      </c>
      <c r="I67" s="9" t="s">
        <v>775</v>
      </c>
      <c r="J67" s="9" t="s">
        <v>204</v>
      </c>
      <c r="K67" s="9">
        <v>2023</v>
      </c>
      <c r="L67" s="4" t="s">
        <v>776</v>
      </c>
      <c r="M67" s="4" t="s">
        <v>668</v>
      </c>
      <c r="N67" s="12" t="s">
        <v>45</v>
      </c>
      <c r="O67" s="16">
        <v>5</v>
      </c>
      <c r="P67" s="16">
        <v>5</v>
      </c>
      <c r="Q67" s="16">
        <v>1</v>
      </c>
      <c r="R67" s="16">
        <v>2</v>
      </c>
      <c r="S67" s="16">
        <f t="shared" si="4"/>
        <v>90</v>
      </c>
      <c r="T67" s="16">
        <f t="shared" si="5"/>
        <v>90</v>
      </c>
      <c r="U67" s="4" t="s">
        <v>777</v>
      </c>
      <c r="V67" s="2" t="s">
        <v>154</v>
      </c>
      <c r="W67" s="9">
        <v>2025</v>
      </c>
      <c r="X67" s="14">
        <v>15</v>
      </c>
      <c r="Y67" s="9">
        <v>2025</v>
      </c>
      <c r="Z67" s="2" t="s">
        <v>778</v>
      </c>
      <c r="AA67" s="2" t="s">
        <v>156</v>
      </c>
      <c r="AB67" s="2" t="s">
        <v>779</v>
      </c>
      <c r="AC67" s="2"/>
      <c r="AD67" s="2" t="s">
        <v>780</v>
      </c>
      <c r="AE67" s="2" t="s">
        <v>781</v>
      </c>
      <c r="AF67" s="4" t="s">
        <v>215</v>
      </c>
      <c r="AG67" s="6" t="s">
        <v>782</v>
      </c>
    </row>
    <row r="68" spans="1:33" ht="26">
      <c r="A68" s="8">
        <v>64</v>
      </c>
      <c r="B68" s="9" t="str">
        <f t="shared" si="3"/>
        <v>B-重点关注</v>
      </c>
      <c r="C68" s="2" t="s">
        <v>783</v>
      </c>
      <c r="D68" s="9" t="s">
        <v>784</v>
      </c>
      <c r="E68" s="4" t="s">
        <v>785</v>
      </c>
      <c r="F68" s="12" t="s">
        <v>300</v>
      </c>
      <c r="G68" s="12" t="s">
        <v>39</v>
      </c>
      <c r="H68" s="12" t="s">
        <v>69</v>
      </c>
      <c r="I68" s="9" t="s">
        <v>786</v>
      </c>
      <c r="J68" s="9" t="s">
        <v>204</v>
      </c>
      <c r="K68" s="9">
        <v>2026</v>
      </c>
      <c r="L68" s="4" t="s">
        <v>787</v>
      </c>
      <c r="M68" s="4" t="s">
        <v>788</v>
      </c>
      <c r="N68" s="12" t="s">
        <v>45</v>
      </c>
      <c r="O68" s="16">
        <v>5</v>
      </c>
      <c r="P68" s="16">
        <v>5</v>
      </c>
      <c r="Q68" s="16">
        <v>1</v>
      </c>
      <c r="R68" s="16">
        <v>2</v>
      </c>
      <c r="S68" s="16">
        <f t="shared" si="4"/>
        <v>90</v>
      </c>
      <c r="T68" s="16">
        <f t="shared" si="5"/>
        <v>90</v>
      </c>
      <c r="U68" s="4" t="s">
        <v>789</v>
      </c>
      <c r="V68" s="2" t="s">
        <v>790</v>
      </c>
      <c r="W68" s="9">
        <v>2026</v>
      </c>
      <c r="X68" s="14">
        <v>13.4</v>
      </c>
      <c r="Y68" s="9">
        <v>2024</v>
      </c>
      <c r="Z68" s="2" t="s">
        <v>791</v>
      </c>
      <c r="AA68" s="2" t="s">
        <v>792</v>
      </c>
      <c r="AB68" s="2" t="s">
        <v>793</v>
      </c>
      <c r="AC68" s="2"/>
      <c r="AD68" s="2" t="s">
        <v>794</v>
      </c>
      <c r="AE68" s="2" t="s">
        <v>795</v>
      </c>
      <c r="AF68" s="4" t="s">
        <v>215</v>
      </c>
      <c r="AG68" s="6" t="s">
        <v>785</v>
      </c>
    </row>
    <row r="69" spans="1:33" ht="52">
      <c r="A69" s="8">
        <v>65</v>
      </c>
      <c r="B69" s="9" t="str">
        <f t="shared" ref="B69:B100" si="6">IF(T69&gt;=95,"A-优先联系",IF(T69&gt;=85,"B-重点关注","C-补充候选"))</f>
        <v>B-重点关注</v>
      </c>
      <c r="C69" s="2" t="s">
        <v>796</v>
      </c>
      <c r="D69" s="9" t="s">
        <v>797</v>
      </c>
      <c r="E69" s="4" t="s">
        <v>798</v>
      </c>
      <c r="F69" s="12" t="s">
        <v>38</v>
      </c>
      <c r="G69" s="12" t="s">
        <v>39</v>
      </c>
      <c r="H69" s="12" t="s">
        <v>69</v>
      </c>
      <c r="I69" s="9" t="s">
        <v>799</v>
      </c>
      <c r="J69" s="9" t="s">
        <v>204</v>
      </c>
      <c r="K69" s="9">
        <v>2026</v>
      </c>
      <c r="L69" s="4" t="s">
        <v>800</v>
      </c>
      <c r="M69" s="4" t="s">
        <v>668</v>
      </c>
      <c r="N69" s="12" t="s">
        <v>45</v>
      </c>
      <c r="O69" s="16">
        <v>5</v>
      </c>
      <c r="P69" s="16">
        <v>5</v>
      </c>
      <c r="Q69" s="16">
        <v>1</v>
      </c>
      <c r="R69" s="16">
        <v>2</v>
      </c>
      <c r="S69" s="16">
        <f t="shared" ref="S69:S100" si="7">O69*7+P69*7+Q69*10+R69*5</f>
        <v>90</v>
      </c>
      <c r="T69" s="16">
        <f t="shared" ref="T69:T100" si="8">MIN(100,S69+IF(G69="青年/新组机会",5,0))</f>
        <v>90</v>
      </c>
      <c r="U69" s="4" t="s">
        <v>801</v>
      </c>
      <c r="V69" s="2" t="s">
        <v>802</v>
      </c>
      <c r="W69" s="9">
        <v>2025</v>
      </c>
      <c r="X69" s="14">
        <v>35.6</v>
      </c>
      <c r="Y69" s="9">
        <v>2024</v>
      </c>
      <c r="Z69" s="2" t="s">
        <v>803</v>
      </c>
      <c r="AA69" s="2" t="s">
        <v>804</v>
      </c>
      <c r="AB69" s="2" t="s">
        <v>805</v>
      </c>
      <c r="AC69" s="2" t="s">
        <v>806</v>
      </c>
      <c r="AD69" s="2" t="s">
        <v>807</v>
      </c>
      <c r="AE69" s="2" t="s">
        <v>808</v>
      </c>
      <c r="AF69" s="4" t="s">
        <v>215</v>
      </c>
      <c r="AG69" s="6" t="s">
        <v>809</v>
      </c>
    </row>
    <row r="70" spans="1:33" ht="39">
      <c r="A70" s="8">
        <v>66</v>
      </c>
      <c r="B70" s="9" t="str">
        <f t="shared" si="6"/>
        <v>B-重点关注</v>
      </c>
      <c r="C70" s="2" t="s">
        <v>810</v>
      </c>
      <c r="D70" s="9" t="s">
        <v>218</v>
      </c>
      <c r="E70" s="4" t="s">
        <v>811</v>
      </c>
      <c r="F70" s="12" t="s">
        <v>300</v>
      </c>
      <c r="G70" s="12" t="s">
        <v>39</v>
      </c>
      <c r="H70" s="12" t="s">
        <v>138</v>
      </c>
      <c r="I70" s="9" t="s">
        <v>812</v>
      </c>
      <c r="J70" s="9" t="s">
        <v>204</v>
      </c>
      <c r="K70" s="9">
        <v>2023</v>
      </c>
      <c r="L70" s="4" t="s">
        <v>813</v>
      </c>
      <c r="M70" s="4" t="s">
        <v>814</v>
      </c>
      <c r="N70" s="12" t="s">
        <v>45</v>
      </c>
      <c r="O70" s="16">
        <v>5</v>
      </c>
      <c r="P70" s="16">
        <v>5</v>
      </c>
      <c r="Q70" s="16">
        <v>1</v>
      </c>
      <c r="R70" s="16">
        <v>2</v>
      </c>
      <c r="S70" s="16">
        <f t="shared" si="7"/>
        <v>90</v>
      </c>
      <c r="T70" s="16">
        <f t="shared" si="8"/>
        <v>90</v>
      </c>
      <c r="U70" s="4" t="s">
        <v>815</v>
      </c>
      <c r="V70" s="2" t="s">
        <v>154</v>
      </c>
      <c r="W70" s="9">
        <v>2020</v>
      </c>
      <c r="X70" s="14">
        <v>15</v>
      </c>
      <c r="Y70" s="9">
        <v>2025</v>
      </c>
      <c r="Z70" s="2" t="s">
        <v>816</v>
      </c>
      <c r="AA70" s="2" t="s">
        <v>156</v>
      </c>
      <c r="AB70" s="2" t="s">
        <v>817</v>
      </c>
      <c r="AC70" s="2"/>
      <c r="AD70" s="2" t="s">
        <v>818</v>
      </c>
      <c r="AE70" s="2" t="s">
        <v>819</v>
      </c>
      <c r="AF70" s="4" t="s">
        <v>215</v>
      </c>
      <c r="AG70" s="6" t="s">
        <v>820</v>
      </c>
    </row>
    <row r="71" spans="1:33" ht="26">
      <c r="A71" s="8">
        <v>67</v>
      </c>
      <c r="B71" s="9" t="str">
        <f t="shared" si="6"/>
        <v>B-重点关注</v>
      </c>
      <c r="C71" s="2" t="s">
        <v>821</v>
      </c>
      <c r="D71" s="9" t="s">
        <v>36</v>
      </c>
      <c r="E71" s="4" t="s">
        <v>56</v>
      </c>
      <c r="F71" s="12" t="s">
        <v>38</v>
      </c>
      <c r="G71" s="12" t="s">
        <v>39</v>
      </c>
      <c r="H71" s="12" t="s">
        <v>40</v>
      </c>
      <c r="I71" s="9" t="s">
        <v>822</v>
      </c>
      <c r="J71" s="9" t="s">
        <v>204</v>
      </c>
      <c r="K71" s="9">
        <v>2026</v>
      </c>
      <c r="L71" s="4" t="s">
        <v>823</v>
      </c>
      <c r="M71" s="4" t="s">
        <v>824</v>
      </c>
      <c r="N71" s="12" t="s">
        <v>45</v>
      </c>
      <c r="O71" s="16">
        <v>5</v>
      </c>
      <c r="P71" s="16">
        <v>5</v>
      </c>
      <c r="Q71" s="16">
        <v>1</v>
      </c>
      <c r="R71" s="16">
        <v>2</v>
      </c>
      <c r="S71" s="16">
        <f t="shared" si="7"/>
        <v>90</v>
      </c>
      <c r="T71" s="16">
        <f t="shared" si="8"/>
        <v>90</v>
      </c>
      <c r="U71" s="4" t="s">
        <v>825</v>
      </c>
      <c r="V71" s="2" t="s">
        <v>109</v>
      </c>
      <c r="W71" s="9">
        <v>2022</v>
      </c>
      <c r="X71" s="14">
        <v>48.5</v>
      </c>
      <c r="Y71" s="9">
        <v>2024</v>
      </c>
      <c r="Z71" s="2" t="s">
        <v>826</v>
      </c>
      <c r="AA71" s="2" t="s">
        <v>111</v>
      </c>
      <c r="AB71" s="2" t="s">
        <v>827</v>
      </c>
      <c r="AC71" s="2" t="s">
        <v>50</v>
      </c>
      <c r="AD71" s="2" t="s">
        <v>828</v>
      </c>
      <c r="AE71" s="2" t="s">
        <v>829</v>
      </c>
      <c r="AF71" s="4" t="s">
        <v>215</v>
      </c>
      <c r="AG71" s="6" t="s">
        <v>67</v>
      </c>
    </row>
    <row r="72" spans="1:33" ht="26">
      <c r="A72" s="8">
        <v>68</v>
      </c>
      <c r="B72" s="9" t="str">
        <f t="shared" si="6"/>
        <v>B-重点关注</v>
      </c>
      <c r="C72" s="2" t="s">
        <v>830</v>
      </c>
      <c r="D72" s="9" t="s">
        <v>420</v>
      </c>
      <c r="E72" s="4" t="s">
        <v>421</v>
      </c>
      <c r="F72" s="12" t="s">
        <v>38</v>
      </c>
      <c r="G72" s="12" t="s">
        <v>39</v>
      </c>
      <c r="H72" s="12" t="s">
        <v>69</v>
      </c>
      <c r="I72" s="9" t="s">
        <v>831</v>
      </c>
      <c r="J72" s="9" t="s">
        <v>204</v>
      </c>
      <c r="K72" s="9">
        <v>2024</v>
      </c>
      <c r="L72" s="4" t="s">
        <v>832</v>
      </c>
      <c r="M72" s="4" t="s">
        <v>833</v>
      </c>
      <c r="N72" s="12" t="s">
        <v>45</v>
      </c>
      <c r="O72" s="16">
        <v>5</v>
      </c>
      <c r="P72" s="16">
        <v>5</v>
      </c>
      <c r="Q72" s="16">
        <v>1</v>
      </c>
      <c r="R72" s="16">
        <v>2</v>
      </c>
      <c r="S72" s="16">
        <f t="shared" si="7"/>
        <v>90</v>
      </c>
      <c r="T72" s="16">
        <f t="shared" si="8"/>
        <v>90</v>
      </c>
      <c r="U72" s="4" t="s">
        <v>834</v>
      </c>
      <c r="V72" s="2" t="s">
        <v>62</v>
      </c>
      <c r="W72" s="9">
        <v>2023</v>
      </c>
      <c r="X72" s="14">
        <v>18.100000000000001</v>
      </c>
      <c r="Y72" s="9">
        <v>2025</v>
      </c>
      <c r="Z72" s="2" t="s">
        <v>835</v>
      </c>
      <c r="AA72" s="2" t="s">
        <v>64</v>
      </c>
      <c r="AB72" s="2" t="s">
        <v>836</v>
      </c>
      <c r="AC72" s="2" t="s">
        <v>430</v>
      </c>
      <c r="AD72" s="2" t="s">
        <v>837</v>
      </c>
      <c r="AE72" s="2"/>
      <c r="AF72" s="4" t="s">
        <v>215</v>
      </c>
      <c r="AG72" s="6" t="s">
        <v>433</v>
      </c>
    </row>
    <row r="73" spans="1:33" ht="52">
      <c r="A73" s="8">
        <v>69</v>
      </c>
      <c r="B73" s="9" t="str">
        <f t="shared" si="6"/>
        <v>B-重点关注</v>
      </c>
      <c r="C73" s="2" t="s">
        <v>838</v>
      </c>
      <c r="D73" s="9" t="s">
        <v>797</v>
      </c>
      <c r="E73" s="4" t="s">
        <v>798</v>
      </c>
      <c r="F73" s="12" t="s">
        <v>38</v>
      </c>
      <c r="G73" s="12" t="s">
        <v>39</v>
      </c>
      <c r="H73" s="12" t="s">
        <v>69</v>
      </c>
      <c r="I73" s="9" t="s">
        <v>839</v>
      </c>
      <c r="J73" s="9" t="s">
        <v>204</v>
      </c>
      <c r="K73" s="9">
        <v>2026</v>
      </c>
      <c r="L73" s="4" t="s">
        <v>840</v>
      </c>
      <c r="M73" s="4" t="s">
        <v>437</v>
      </c>
      <c r="N73" s="12" t="s">
        <v>45</v>
      </c>
      <c r="O73" s="16">
        <v>5</v>
      </c>
      <c r="P73" s="16">
        <v>5</v>
      </c>
      <c r="Q73" s="16">
        <v>1</v>
      </c>
      <c r="R73" s="16">
        <v>2</v>
      </c>
      <c r="S73" s="16">
        <f t="shared" si="7"/>
        <v>90</v>
      </c>
      <c r="T73" s="16">
        <f t="shared" si="8"/>
        <v>90</v>
      </c>
      <c r="U73" s="4" t="s">
        <v>841</v>
      </c>
      <c r="V73" s="2" t="s">
        <v>154</v>
      </c>
      <c r="W73" s="9">
        <v>2024</v>
      </c>
      <c r="X73" s="14">
        <v>15</v>
      </c>
      <c r="Y73" s="9">
        <v>2025</v>
      </c>
      <c r="Z73" s="2" t="s">
        <v>842</v>
      </c>
      <c r="AA73" s="2" t="s">
        <v>156</v>
      </c>
      <c r="AB73" s="2" t="s">
        <v>843</v>
      </c>
      <c r="AC73" s="2" t="s">
        <v>844</v>
      </c>
      <c r="AD73" s="2" t="s">
        <v>845</v>
      </c>
      <c r="AE73" s="2" t="s">
        <v>846</v>
      </c>
      <c r="AF73" s="4" t="s">
        <v>215</v>
      </c>
      <c r="AG73" s="6" t="s">
        <v>847</v>
      </c>
    </row>
    <row r="74" spans="1:33" ht="26">
      <c r="A74" s="8">
        <v>70</v>
      </c>
      <c r="B74" s="9" t="str">
        <f t="shared" si="6"/>
        <v>B-重点关注</v>
      </c>
      <c r="C74" s="2" t="s">
        <v>848</v>
      </c>
      <c r="D74" s="9" t="s">
        <v>784</v>
      </c>
      <c r="E74" s="4" t="s">
        <v>785</v>
      </c>
      <c r="F74" s="12" t="s">
        <v>300</v>
      </c>
      <c r="G74" s="12" t="s">
        <v>39</v>
      </c>
      <c r="H74" s="12" t="s">
        <v>69</v>
      </c>
      <c r="I74" s="9" t="s">
        <v>849</v>
      </c>
      <c r="J74" s="9" t="s">
        <v>204</v>
      </c>
      <c r="K74" s="9">
        <v>2026</v>
      </c>
      <c r="L74" s="4" t="s">
        <v>850</v>
      </c>
      <c r="M74" s="4" t="s">
        <v>851</v>
      </c>
      <c r="N74" s="12" t="s">
        <v>45</v>
      </c>
      <c r="O74" s="16">
        <v>5</v>
      </c>
      <c r="P74" s="16">
        <v>5</v>
      </c>
      <c r="Q74" s="16">
        <v>1</v>
      </c>
      <c r="R74" s="16">
        <v>2</v>
      </c>
      <c r="S74" s="16">
        <f t="shared" si="7"/>
        <v>90</v>
      </c>
      <c r="T74" s="16">
        <f t="shared" si="8"/>
        <v>90</v>
      </c>
      <c r="U74" s="4" t="s">
        <v>852</v>
      </c>
      <c r="V74" s="2" t="s">
        <v>154</v>
      </c>
      <c r="W74" s="9">
        <v>2024</v>
      </c>
      <c r="X74" s="14">
        <v>15</v>
      </c>
      <c r="Y74" s="9">
        <v>2025</v>
      </c>
      <c r="Z74" s="2" t="s">
        <v>853</v>
      </c>
      <c r="AA74" s="2" t="s">
        <v>156</v>
      </c>
      <c r="AB74" s="2" t="s">
        <v>854</v>
      </c>
      <c r="AC74" s="2"/>
      <c r="AD74" s="2" t="s">
        <v>855</v>
      </c>
      <c r="AE74" s="2" t="s">
        <v>856</v>
      </c>
      <c r="AF74" s="4" t="s">
        <v>215</v>
      </c>
      <c r="AG74" s="6" t="s">
        <v>857</v>
      </c>
    </row>
    <row r="75" spans="1:33" ht="39">
      <c r="A75" s="8">
        <v>71</v>
      </c>
      <c r="B75" s="9" t="str">
        <f t="shared" si="6"/>
        <v>B-重点关注</v>
      </c>
      <c r="C75" s="2" t="s">
        <v>858</v>
      </c>
      <c r="D75" s="9" t="s">
        <v>103</v>
      </c>
      <c r="E75" s="4" t="s">
        <v>104</v>
      </c>
      <c r="F75" s="12" t="s">
        <v>38</v>
      </c>
      <c r="G75" s="12" t="s">
        <v>39</v>
      </c>
      <c r="H75" s="12" t="s">
        <v>69</v>
      </c>
      <c r="I75" s="9" t="s">
        <v>859</v>
      </c>
      <c r="J75" s="9" t="s">
        <v>204</v>
      </c>
      <c r="K75" s="9">
        <v>2026</v>
      </c>
      <c r="L75" s="4" t="s">
        <v>860</v>
      </c>
      <c r="M75" s="4" t="s">
        <v>861</v>
      </c>
      <c r="N75" s="12" t="s">
        <v>45</v>
      </c>
      <c r="O75" s="16">
        <v>5</v>
      </c>
      <c r="P75" s="16">
        <v>5</v>
      </c>
      <c r="Q75" s="16">
        <v>1</v>
      </c>
      <c r="R75" s="16">
        <v>2</v>
      </c>
      <c r="S75" s="16">
        <f t="shared" si="7"/>
        <v>90</v>
      </c>
      <c r="T75" s="16">
        <f t="shared" si="8"/>
        <v>90</v>
      </c>
      <c r="U75" s="4" t="s">
        <v>862</v>
      </c>
      <c r="V75" s="2" t="s">
        <v>121</v>
      </c>
      <c r="W75" s="9">
        <v>2025</v>
      </c>
      <c r="X75" s="14">
        <v>42.5</v>
      </c>
      <c r="Y75" s="9">
        <v>2024</v>
      </c>
      <c r="Z75" s="2" t="s">
        <v>863</v>
      </c>
      <c r="AA75" s="2" t="s">
        <v>123</v>
      </c>
      <c r="AB75" s="2" t="s">
        <v>864</v>
      </c>
      <c r="AC75" s="2" t="s">
        <v>865</v>
      </c>
      <c r="AD75" s="2" t="s">
        <v>866</v>
      </c>
      <c r="AE75" s="2" t="s">
        <v>867</v>
      </c>
      <c r="AF75" s="4" t="s">
        <v>215</v>
      </c>
      <c r="AG75" s="6" t="s">
        <v>868</v>
      </c>
    </row>
    <row r="76" spans="1:33" ht="26">
      <c r="A76" s="8">
        <v>72</v>
      </c>
      <c r="B76" s="9" t="str">
        <f t="shared" si="6"/>
        <v>B-重点关注</v>
      </c>
      <c r="C76" s="2" t="s">
        <v>869</v>
      </c>
      <c r="D76" s="9" t="s">
        <v>348</v>
      </c>
      <c r="E76" s="4" t="s">
        <v>870</v>
      </c>
      <c r="F76" s="12" t="s">
        <v>38</v>
      </c>
      <c r="G76" s="12" t="s">
        <v>39</v>
      </c>
      <c r="H76" s="12" t="s">
        <v>81</v>
      </c>
      <c r="I76" s="9" t="s">
        <v>871</v>
      </c>
      <c r="J76" s="9" t="s">
        <v>204</v>
      </c>
      <c r="K76" s="9">
        <v>2025</v>
      </c>
      <c r="L76" s="4" t="s">
        <v>872</v>
      </c>
      <c r="M76" s="4" t="s">
        <v>682</v>
      </c>
      <c r="N76" s="12" t="s">
        <v>45</v>
      </c>
      <c r="O76" s="16">
        <v>5</v>
      </c>
      <c r="P76" s="16">
        <v>5</v>
      </c>
      <c r="Q76" s="16">
        <v>1</v>
      </c>
      <c r="R76" s="16">
        <v>2</v>
      </c>
      <c r="S76" s="16">
        <f t="shared" si="7"/>
        <v>90</v>
      </c>
      <c r="T76" s="16">
        <f t="shared" si="8"/>
        <v>90</v>
      </c>
      <c r="U76" s="4" t="s">
        <v>873</v>
      </c>
      <c r="V76" s="2" t="s">
        <v>874</v>
      </c>
      <c r="W76" s="9">
        <v>2026</v>
      </c>
      <c r="X76" s="14">
        <v>33.1</v>
      </c>
      <c r="Y76" s="9">
        <v>2024</v>
      </c>
      <c r="Z76" s="2" t="s">
        <v>875</v>
      </c>
      <c r="AA76" s="2" t="s">
        <v>876</v>
      </c>
      <c r="AB76" s="2" t="s">
        <v>877</v>
      </c>
      <c r="AC76" s="2" t="s">
        <v>878</v>
      </c>
      <c r="AD76" s="2" t="s">
        <v>879</v>
      </c>
      <c r="AE76" s="2" t="s">
        <v>880</v>
      </c>
      <c r="AF76" s="4" t="s">
        <v>215</v>
      </c>
      <c r="AG76" s="6" t="s">
        <v>881</v>
      </c>
    </row>
    <row r="77" spans="1:33" ht="26">
      <c r="A77" s="8">
        <v>73</v>
      </c>
      <c r="B77" s="9" t="str">
        <f t="shared" si="6"/>
        <v>B-重点关注</v>
      </c>
      <c r="C77" s="2" t="s">
        <v>882</v>
      </c>
      <c r="D77" s="9" t="s">
        <v>259</v>
      </c>
      <c r="E77" s="4" t="s">
        <v>883</v>
      </c>
      <c r="F77" s="12" t="s">
        <v>232</v>
      </c>
      <c r="G77" s="12" t="s">
        <v>39</v>
      </c>
      <c r="H77" s="12" t="s">
        <v>176</v>
      </c>
      <c r="I77" s="9" t="s">
        <v>884</v>
      </c>
      <c r="J77" s="9" t="s">
        <v>204</v>
      </c>
      <c r="K77" s="9">
        <v>2025</v>
      </c>
      <c r="L77" s="4" t="s">
        <v>885</v>
      </c>
      <c r="M77" s="4" t="s">
        <v>886</v>
      </c>
      <c r="N77" s="12" t="s">
        <v>45</v>
      </c>
      <c r="O77" s="16">
        <v>5</v>
      </c>
      <c r="P77" s="16">
        <v>5</v>
      </c>
      <c r="Q77" s="16">
        <v>1</v>
      </c>
      <c r="R77" s="16">
        <v>2</v>
      </c>
      <c r="S77" s="16">
        <f t="shared" si="7"/>
        <v>90</v>
      </c>
      <c r="T77" s="16">
        <f t="shared" si="8"/>
        <v>90</v>
      </c>
      <c r="U77" s="4" t="s">
        <v>887</v>
      </c>
      <c r="V77" s="2" t="s">
        <v>208</v>
      </c>
      <c r="W77" s="9">
        <v>2026</v>
      </c>
      <c r="X77" s="14">
        <v>12.1</v>
      </c>
      <c r="Y77" s="9">
        <v>2024</v>
      </c>
      <c r="Z77" s="2" t="s">
        <v>888</v>
      </c>
      <c r="AA77" s="2" t="s">
        <v>210</v>
      </c>
      <c r="AB77" s="2" t="s">
        <v>889</v>
      </c>
      <c r="AC77" s="2" t="s">
        <v>890</v>
      </c>
      <c r="AD77" s="2" t="s">
        <v>891</v>
      </c>
      <c r="AE77" s="2" t="s">
        <v>892</v>
      </c>
      <c r="AF77" s="4" t="s">
        <v>893</v>
      </c>
      <c r="AG77" s="6" t="s">
        <v>883</v>
      </c>
    </row>
    <row r="78" spans="1:33" ht="26">
      <c r="A78" s="8">
        <v>74</v>
      </c>
      <c r="B78" s="9" t="str">
        <f t="shared" si="6"/>
        <v>B-重点关注</v>
      </c>
      <c r="C78" s="2" t="s">
        <v>894</v>
      </c>
      <c r="D78" s="9" t="s">
        <v>162</v>
      </c>
      <c r="E78" s="4" t="s">
        <v>163</v>
      </c>
      <c r="F78" s="12" t="s">
        <v>38</v>
      </c>
      <c r="G78" s="12" t="s">
        <v>39</v>
      </c>
      <c r="H78" s="12" t="s">
        <v>81</v>
      </c>
      <c r="I78" s="9" t="s">
        <v>895</v>
      </c>
      <c r="J78" s="9" t="s">
        <v>42</v>
      </c>
      <c r="K78" s="9">
        <v>2026</v>
      </c>
      <c r="L78" s="4" t="s">
        <v>896</v>
      </c>
      <c r="M78" s="4" t="s">
        <v>897</v>
      </c>
      <c r="N78" s="12" t="s">
        <v>251</v>
      </c>
      <c r="O78" s="16">
        <v>5</v>
      </c>
      <c r="P78" s="16">
        <v>3</v>
      </c>
      <c r="Q78" s="16">
        <v>2</v>
      </c>
      <c r="R78" s="16">
        <v>2</v>
      </c>
      <c r="S78" s="16">
        <f t="shared" si="7"/>
        <v>86</v>
      </c>
      <c r="T78" s="16">
        <f t="shared" si="8"/>
        <v>86</v>
      </c>
      <c r="U78" s="4" t="s">
        <v>898</v>
      </c>
      <c r="V78" s="2" t="s">
        <v>154</v>
      </c>
      <c r="W78" s="9">
        <v>2025</v>
      </c>
      <c r="X78" s="14">
        <v>15</v>
      </c>
      <c r="Y78" s="9">
        <v>2025</v>
      </c>
      <c r="Z78" s="2" t="s">
        <v>899</v>
      </c>
      <c r="AA78" s="2" t="s">
        <v>156</v>
      </c>
      <c r="AB78" s="2" t="s">
        <v>900</v>
      </c>
      <c r="AC78" s="2" t="s">
        <v>900</v>
      </c>
      <c r="AD78" s="2" t="s">
        <v>901</v>
      </c>
      <c r="AE78" s="2" t="s">
        <v>902</v>
      </c>
      <c r="AF78" s="4" t="s">
        <v>53</v>
      </c>
      <c r="AG78" s="6" t="s">
        <v>903</v>
      </c>
    </row>
    <row r="79" spans="1:33" ht="26">
      <c r="A79" s="8">
        <v>75</v>
      </c>
      <c r="B79" s="9" t="str">
        <f t="shared" si="6"/>
        <v>C-补充候选</v>
      </c>
      <c r="C79" s="2" t="s">
        <v>904</v>
      </c>
      <c r="D79" s="9" t="s">
        <v>218</v>
      </c>
      <c r="E79" s="4" t="s">
        <v>374</v>
      </c>
      <c r="F79" s="12" t="s">
        <v>38</v>
      </c>
      <c r="G79" s="12" t="s">
        <v>57</v>
      </c>
      <c r="H79" s="12" t="s">
        <v>69</v>
      </c>
      <c r="I79" s="9" t="s">
        <v>905</v>
      </c>
      <c r="J79" s="9" t="s">
        <v>204</v>
      </c>
      <c r="K79" s="9">
        <v>2026</v>
      </c>
      <c r="L79" s="4" t="s">
        <v>906</v>
      </c>
      <c r="M79" s="4" t="s">
        <v>907</v>
      </c>
      <c r="N79" s="12" t="s">
        <v>251</v>
      </c>
      <c r="O79" s="16">
        <v>5</v>
      </c>
      <c r="P79" s="16">
        <v>3</v>
      </c>
      <c r="Q79" s="16">
        <v>1</v>
      </c>
      <c r="R79" s="16">
        <v>2</v>
      </c>
      <c r="S79" s="16">
        <f t="shared" si="7"/>
        <v>76</v>
      </c>
      <c r="T79" s="16">
        <f t="shared" si="8"/>
        <v>81</v>
      </c>
      <c r="U79" s="4" t="s">
        <v>908</v>
      </c>
      <c r="V79" s="2" t="s">
        <v>154</v>
      </c>
      <c r="W79" s="9">
        <v>2026</v>
      </c>
      <c r="X79" s="14">
        <v>15</v>
      </c>
      <c r="Y79" s="9">
        <v>2025</v>
      </c>
      <c r="Z79" s="2" t="s">
        <v>909</v>
      </c>
      <c r="AA79" s="2" t="s">
        <v>156</v>
      </c>
      <c r="AB79" s="2" t="s">
        <v>910</v>
      </c>
      <c r="AC79" s="2" t="s">
        <v>381</v>
      </c>
      <c r="AD79" s="2" t="s">
        <v>911</v>
      </c>
      <c r="AE79" s="2" t="s">
        <v>912</v>
      </c>
      <c r="AF79" s="4" t="s">
        <v>215</v>
      </c>
      <c r="AG79" s="6" t="s">
        <v>374</v>
      </c>
    </row>
    <row r="80" spans="1:33" ht="26">
      <c r="A80" s="8">
        <v>76</v>
      </c>
      <c r="B80" s="9" t="str">
        <f t="shared" si="6"/>
        <v>C-补充候选</v>
      </c>
      <c r="C80" s="2" t="s">
        <v>913</v>
      </c>
      <c r="D80" s="9" t="s">
        <v>914</v>
      </c>
      <c r="E80" s="4" t="s">
        <v>915</v>
      </c>
      <c r="F80" s="12" t="s">
        <v>300</v>
      </c>
      <c r="G80" s="12" t="s">
        <v>39</v>
      </c>
      <c r="H80" s="12" t="s">
        <v>138</v>
      </c>
      <c r="I80" s="9" t="s">
        <v>916</v>
      </c>
      <c r="J80" s="9" t="s">
        <v>917</v>
      </c>
      <c r="K80" s="9">
        <v>2026</v>
      </c>
      <c r="L80" s="4" t="s">
        <v>918</v>
      </c>
      <c r="M80" s="4" t="s">
        <v>919</v>
      </c>
      <c r="N80" s="12" t="s">
        <v>45</v>
      </c>
      <c r="O80" s="16">
        <v>5</v>
      </c>
      <c r="P80" s="16">
        <v>5</v>
      </c>
      <c r="Q80" s="16">
        <v>0</v>
      </c>
      <c r="R80" s="16">
        <v>2</v>
      </c>
      <c r="S80" s="16">
        <f t="shared" si="7"/>
        <v>80</v>
      </c>
      <c r="T80" s="16">
        <f t="shared" si="8"/>
        <v>80</v>
      </c>
      <c r="U80" s="4" t="s">
        <v>304</v>
      </c>
      <c r="V80" s="2" t="s">
        <v>62</v>
      </c>
      <c r="W80" s="9">
        <v>2025</v>
      </c>
      <c r="X80" s="14">
        <v>18.100000000000001</v>
      </c>
      <c r="Y80" s="9">
        <v>2025</v>
      </c>
      <c r="Z80" s="2" t="s">
        <v>305</v>
      </c>
      <c r="AA80" s="2" t="s">
        <v>64</v>
      </c>
      <c r="AB80" s="2" t="s">
        <v>920</v>
      </c>
      <c r="AC80" s="2"/>
      <c r="AD80" s="2" t="s">
        <v>921</v>
      </c>
      <c r="AE80" s="2" t="s">
        <v>922</v>
      </c>
      <c r="AF80" s="4" t="s">
        <v>923</v>
      </c>
      <c r="AG80" s="6" t="s">
        <v>299</v>
      </c>
    </row>
    <row r="81" spans="1:33" ht="39">
      <c r="A81" s="8">
        <v>77</v>
      </c>
      <c r="B81" s="9" t="str">
        <f t="shared" si="6"/>
        <v>C-补充候选</v>
      </c>
      <c r="C81" s="2" t="s">
        <v>924</v>
      </c>
      <c r="D81" s="9" t="s">
        <v>162</v>
      </c>
      <c r="E81" s="4" t="s">
        <v>925</v>
      </c>
      <c r="F81" s="12" t="s">
        <v>300</v>
      </c>
      <c r="G81" s="12" t="s">
        <v>39</v>
      </c>
      <c r="H81" s="12" t="s">
        <v>40</v>
      </c>
      <c r="I81" s="9" t="s">
        <v>926</v>
      </c>
      <c r="J81" s="9" t="s">
        <v>917</v>
      </c>
      <c r="K81" s="9">
        <v>2026</v>
      </c>
      <c r="L81" s="4" t="s">
        <v>927</v>
      </c>
      <c r="M81" s="4" t="s">
        <v>928</v>
      </c>
      <c r="N81" s="12" t="s">
        <v>45</v>
      </c>
      <c r="O81" s="16">
        <v>5</v>
      </c>
      <c r="P81" s="16">
        <v>5</v>
      </c>
      <c r="Q81" s="16">
        <v>0</v>
      </c>
      <c r="R81" s="16">
        <v>2</v>
      </c>
      <c r="S81" s="16">
        <f t="shared" si="7"/>
        <v>80</v>
      </c>
      <c r="T81" s="16">
        <f t="shared" si="8"/>
        <v>80</v>
      </c>
      <c r="U81" s="4" t="s">
        <v>929</v>
      </c>
      <c r="V81" s="2" t="s">
        <v>154</v>
      </c>
      <c r="W81" s="9">
        <v>2026</v>
      </c>
      <c r="X81" s="14">
        <v>15</v>
      </c>
      <c r="Y81" s="9">
        <v>2025</v>
      </c>
      <c r="Z81" s="2" t="s">
        <v>930</v>
      </c>
      <c r="AA81" s="2" t="s">
        <v>156</v>
      </c>
      <c r="AB81" s="2" t="s">
        <v>931</v>
      </c>
      <c r="AC81" s="2"/>
      <c r="AD81" s="2" t="s">
        <v>932</v>
      </c>
      <c r="AE81" s="2" t="s">
        <v>933</v>
      </c>
      <c r="AF81" s="4" t="s">
        <v>923</v>
      </c>
      <c r="AG81" s="6" t="s">
        <v>934</v>
      </c>
    </row>
    <row r="82" spans="1:33" ht="26">
      <c r="A82" s="8">
        <v>78</v>
      </c>
      <c r="B82" s="9" t="str">
        <f t="shared" si="6"/>
        <v>C-补充候选</v>
      </c>
      <c r="C82" s="2" t="s">
        <v>935</v>
      </c>
      <c r="D82" s="9" t="s">
        <v>797</v>
      </c>
      <c r="E82" s="4" t="s">
        <v>798</v>
      </c>
      <c r="F82" s="12" t="s">
        <v>38</v>
      </c>
      <c r="G82" s="12" t="s">
        <v>39</v>
      </c>
      <c r="H82" s="12" t="s">
        <v>176</v>
      </c>
      <c r="I82" s="9" t="s">
        <v>936</v>
      </c>
      <c r="J82" s="9" t="s">
        <v>204</v>
      </c>
      <c r="K82" s="9">
        <v>2026</v>
      </c>
      <c r="L82" s="4" t="s">
        <v>937</v>
      </c>
      <c r="M82" s="4" t="s">
        <v>938</v>
      </c>
      <c r="N82" s="12" t="s">
        <v>251</v>
      </c>
      <c r="O82" s="16">
        <v>5</v>
      </c>
      <c r="P82" s="16">
        <v>3</v>
      </c>
      <c r="Q82" s="16">
        <v>1</v>
      </c>
      <c r="R82" s="16">
        <v>2</v>
      </c>
      <c r="S82" s="16">
        <f t="shared" si="7"/>
        <v>76</v>
      </c>
      <c r="T82" s="16">
        <f t="shared" si="8"/>
        <v>76</v>
      </c>
      <c r="U82" s="4" t="s">
        <v>939</v>
      </c>
      <c r="V82" s="2" t="s">
        <v>522</v>
      </c>
      <c r="W82" s="9">
        <v>2025</v>
      </c>
      <c r="X82" s="14">
        <v>9.4</v>
      </c>
      <c r="Y82" s="9">
        <v>2024</v>
      </c>
      <c r="Z82" s="2" t="s">
        <v>940</v>
      </c>
      <c r="AA82" s="2" t="s">
        <v>524</v>
      </c>
      <c r="AB82" s="2" t="s">
        <v>941</v>
      </c>
      <c r="AC82" s="2" t="s">
        <v>844</v>
      </c>
      <c r="AD82" s="2" t="s">
        <v>942</v>
      </c>
      <c r="AE82" s="2" t="s">
        <v>943</v>
      </c>
      <c r="AF82" s="4" t="s">
        <v>215</v>
      </c>
      <c r="AG82" s="6" t="s">
        <v>944</v>
      </c>
    </row>
    <row r="83" spans="1:33" ht="26">
      <c r="A83" s="8">
        <v>79</v>
      </c>
      <c r="B83" s="9" t="str">
        <f t="shared" si="6"/>
        <v>C-补充候选</v>
      </c>
      <c r="C83" s="2" t="s">
        <v>945</v>
      </c>
      <c r="D83" s="9" t="s">
        <v>162</v>
      </c>
      <c r="E83" s="4" t="s">
        <v>398</v>
      </c>
      <c r="F83" s="12" t="s">
        <v>300</v>
      </c>
      <c r="G83" s="12" t="s">
        <v>39</v>
      </c>
      <c r="H83" s="12" t="s">
        <v>69</v>
      </c>
      <c r="I83" s="9" t="s">
        <v>946</v>
      </c>
      <c r="J83" s="9" t="s">
        <v>234</v>
      </c>
      <c r="K83" s="9">
        <v>2019</v>
      </c>
      <c r="L83" s="4" t="s">
        <v>947</v>
      </c>
      <c r="M83" s="4" t="s">
        <v>948</v>
      </c>
      <c r="N83" s="12" t="s">
        <v>251</v>
      </c>
      <c r="O83" s="16">
        <v>5</v>
      </c>
      <c r="P83" s="16">
        <v>3</v>
      </c>
      <c r="Q83" s="16">
        <v>1</v>
      </c>
      <c r="R83" s="16">
        <v>2</v>
      </c>
      <c r="S83" s="16">
        <f t="shared" si="7"/>
        <v>76</v>
      </c>
      <c r="T83" s="16">
        <f t="shared" si="8"/>
        <v>76</v>
      </c>
      <c r="U83" s="4" t="s">
        <v>949</v>
      </c>
      <c r="V83" s="2" t="s">
        <v>62</v>
      </c>
      <c r="W83" s="9">
        <v>2024</v>
      </c>
      <c r="X83" s="14">
        <v>18.100000000000001</v>
      </c>
      <c r="Y83" s="9">
        <v>2025</v>
      </c>
      <c r="Z83" s="2" t="s">
        <v>950</v>
      </c>
      <c r="AA83" s="2" t="s">
        <v>64</v>
      </c>
      <c r="AB83" s="2" t="s">
        <v>951</v>
      </c>
      <c r="AC83" s="2"/>
      <c r="AD83" s="2" t="s">
        <v>952</v>
      </c>
      <c r="AE83" s="2" t="s">
        <v>953</v>
      </c>
      <c r="AF83" s="4" t="s">
        <v>676</v>
      </c>
      <c r="AG83" s="6" t="s">
        <v>346</v>
      </c>
    </row>
    <row r="84" spans="1:33" ht="26">
      <c r="A84" s="8">
        <v>80</v>
      </c>
      <c r="B84" s="9" t="str">
        <f t="shared" si="6"/>
        <v>C-补充候选</v>
      </c>
      <c r="C84" s="2" t="s">
        <v>954</v>
      </c>
      <c r="D84" s="9" t="s">
        <v>955</v>
      </c>
      <c r="E84" s="4" t="s">
        <v>956</v>
      </c>
      <c r="F84" s="12" t="s">
        <v>38</v>
      </c>
      <c r="G84" s="12" t="s">
        <v>39</v>
      </c>
      <c r="H84" s="12" t="s">
        <v>69</v>
      </c>
      <c r="I84" s="9" t="s">
        <v>957</v>
      </c>
      <c r="J84" s="9" t="s">
        <v>204</v>
      </c>
      <c r="K84" s="9">
        <v>2022</v>
      </c>
      <c r="L84" s="4" t="s">
        <v>958</v>
      </c>
      <c r="M84" s="4" t="s">
        <v>959</v>
      </c>
      <c r="N84" s="12" t="s">
        <v>251</v>
      </c>
      <c r="O84" s="16">
        <v>5</v>
      </c>
      <c r="P84" s="16">
        <v>3</v>
      </c>
      <c r="Q84" s="16">
        <v>1</v>
      </c>
      <c r="R84" s="16">
        <v>2</v>
      </c>
      <c r="S84" s="16">
        <f t="shared" si="7"/>
        <v>76</v>
      </c>
      <c r="T84" s="16">
        <f t="shared" si="8"/>
        <v>76</v>
      </c>
      <c r="U84" s="4" t="s">
        <v>960</v>
      </c>
      <c r="V84" s="2" t="s">
        <v>154</v>
      </c>
      <c r="W84" s="9">
        <v>2020</v>
      </c>
      <c r="X84" s="14">
        <v>15</v>
      </c>
      <c r="Y84" s="9">
        <v>2025</v>
      </c>
      <c r="Z84" s="2" t="s">
        <v>961</v>
      </c>
      <c r="AA84" s="2" t="s">
        <v>156</v>
      </c>
      <c r="AB84" s="2" t="s">
        <v>962</v>
      </c>
      <c r="AC84" s="2" t="s">
        <v>963</v>
      </c>
      <c r="AD84" s="2" t="s">
        <v>964</v>
      </c>
      <c r="AE84" s="2" t="s">
        <v>965</v>
      </c>
      <c r="AF84" s="4" t="s">
        <v>215</v>
      </c>
      <c r="AG84" s="6" t="s">
        <v>966</v>
      </c>
    </row>
    <row r="85" spans="1:33" ht="26">
      <c r="A85" s="8">
        <v>81</v>
      </c>
      <c r="B85" s="9" t="str">
        <f t="shared" si="6"/>
        <v>C-补充候选</v>
      </c>
      <c r="C85" s="2" t="s">
        <v>967</v>
      </c>
      <c r="D85" s="9" t="s">
        <v>36</v>
      </c>
      <c r="E85" s="4" t="s">
        <v>56</v>
      </c>
      <c r="F85" s="12" t="s">
        <v>300</v>
      </c>
      <c r="G85" s="12" t="s">
        <v>39</v>
      </c>
      <c r="H85" s="12" t="s">
        <v>69</v>
      </c>
      <c r="I85" s="9" t="s">
        <v>968</v>
      </c>
      <c r="J85" s="9" t="s">
        <v>204</v>
      </c>
      <c r="K85" s="9">
        <v>2025</v>
      </c>
      <c r="L85" s="4" t="s">
        <v>969</v>
      </c>
      <c r="M85" s="4" t="s">
        <v>970</v>
      </c>
      <c r="N85" s="12" t="s">
        <v>251</v>
      </c>
      <c r="O85" s="16">
        <v>5</v>
      </c>
      <c r="P85" s="16">
        <v>3</v>
      </c>
      <c r="Q85" s="16">
        <v>1</v>
      </c>
      <c r="R85" s="16">
        <v>2</v>
      </c>
      <c r="S85" s="16">
        <f t="shared" si="7"/>
        <v>76</v>
      </c>
      <c r="T85" s="16">
        <f t="shared" si="8"/>
        <v>76</v>
      </c>
      <c r="U85" s="4" t="s">
        <v>579</v>
      </c>
      <c r="V85" s="2" t="s">
        <v>62</v>
      </c>
      <c r="W85" s="9">
        <v>2026</v>
      </c>
      <c r="X85" s="14">
        <v>18.100000000000001</v>
      </c>
      <c r="Y85" s="9">
        <v>2025</v>
      </c>
      <c r="Z85" s="2" t="s">
        <v>580</v>
      </c>
      <c r="AA85" s="2" t="s">
        <v>64</v>
      </c>
      <c r="AB85" s="2" t="s">
        <v>971</v>
      </c>
      <c r="AC85" s="2"/>
      <c r="AD85" s="2" t="s">
        <v>972</v>
      </c>
      <c r="AE85" s="2" t="s">
        <v>973</v>
      </c>
      <c r="AF85" s="4" t="s">
        <v>215</v>
      </c>
      <c r="AG85" s="6" t="s">
        <v>67</v>
      </c>
    </row>
    <row r="86" spans="1:33" ht="26">
      <c r="A86" s="8">
        <v>82</v>
      </c>
      <c r="B86" s="9" t="str">
        <f t="shared" si="6"/>
        <v>C-补充候选</v>
      </c>
      <c r="C86" s="2" t="s">
        <v>974</v>
      </c>
      <c r="D86" s="9" t="s">
        <v>975</v>
      </c>
      <c r="E86" s="4" t="s">
        <v>976</v>
      </c>
      <c r="F86" s="12" t="s">
        <v>38</v>
      </c>
      <c r="G86" s="12" t="s">
        <v>39</v>
      </c>
      <c r="H86" s="12" t="s">
        <v>176</v>
      </c>
      <c r="I86" s="9" t="s">
        <v>977</v>
      </c>
      <c r="J86" s="9" t="s">
        <v>204</v>
      </c>
      <c r="K86" s="9">
        <v>2026</v>
      </c>
      <c r="L86" s="4" t="s">
        <v>978</v>
      </c>
      <c r="M86" s="4" t="s">
        <v>979</v>
      </c>
      <c r="N86" s="12" t="s">
        <v>251</v>
      </c>
      <c r="O86" s="16">
        <v>5</v>
      </c>
      <c r="P86" s="16">
        <v>3</v>
      </c>
      <c r="Q86" s="16">
        <v>1</v>
      </c>
      <c r="R86" s="16">
        <v>2</v>
      </c>
      <c r="S86" s="16">
        <f t="shared" si="7"/>
        <v>76</v>
      </c>
      <c r="T86" s="16">
        <f t="shared" si="8"/>
        <v>76</v>
      </c>
      <c r="U86" s="4" t="s">
        <v>980</v>
      </c>
      <c r="V86" s="2" t="s">
        <v>154</v>
      </c>
      <c r="W86" s="9">
        <v>2026</v>
      </c>
      <c r="X86" s="14">
        <v>15</v>
      </c>
      <c r="Y86" s="9">
        <v>2025</v>
      </c>
      <c r="Z86" s="2" t="s">
        <v>981</v>
      </c>
      <c r="AA86" s="2" t="s">
        <v>156</v>
      </c>
      <c r="AB86" s="2" t="s">
        <v>982</v>
      </c>
      <c r="AC86" s="2" t="s">
        <v>450</v>
      </c>
      <c r="AD86" s="2" t="s">
        <v>983</v>
      </c>
      <c r="AE86" s="2" t="s">
        <v>984</v>
      </c>
      <c r="AF86" s="4" t="s">
        <v>215</v>
      </c>
      <c r="AG86" s="6" t="s">
        <v>985</v>
      </c>
    </row>
    <row r="87" spans="1:33" ht="26">
      <c r="A87" s="8">
        <v>83</v>
      </c>
      <c r="B87" s="9" t="str">
        <f t="shared" si="6"/>
        <v>C-补充候选</v>
      </c>
      <c r="C87" s="2" t="s">
        <v>986</v>
      </c>
      <c r="D87" s="9" t="s">
        <v>103</v>
      </c>
      <c r="E87" s="4" t="s">
        <v>987</v>
      </c>
      <c r="F87" s="12" t="s">
        <v>38</v>
      </c>
      <c r="G87" s="12" t="s">
        <v>39</v>
      </c>
      <c r="H87" s="12" t="s">
        <v>176</v>
      </c>
      <c r="I87" s="9" t="s">
        <v>988</v>
      </c>
      <c r="J87" s="9" t="s">
        <v>204</v>
      </c>
      <c r="K87" s="9">
        <v>2026</v>
      </c>
      <c r="L87" s="4" t="s">
        <v>989</v>
      </c>
      <c r="M87" s="4" t="s">
        <v>990</v>
      </c>
      <c r="N87" s="12" t="s">
        <v>251</v>
      </c>
      <c r="O87" s="16">
        <v>5</v>
      </c>
      <c r="P87" s="16">
        <v>3</v>
      </c>
      <c r="Q87" s="16">
        <v>1</v>
      </c>
      <c r="R87" s="16">
        <v>2</v>
      </c>
      <c r="S87" s="16">
        <f t="shared" si="7"/>
        <v>76</v>
      </c>
      <c r="T87" s="16">
        <f t="shared" si="8"/>
        <v>76</v>
      </c>
      <c r="U87" s="4" t="s">
        <v>991</v>
      </c>
      <c r="V87" s="2" t="s">
        <v>154</v>
      </c>
      <c r="W87" s="9">
        <v>2026</v>
      </c>
      <c r="X87" s="14">
        <v>15</v>
      </c>
      <c r="Y87" s="9">
        <v>2025</v>
      </c>
      <c r="Z87" s="2" t="s">
        <v>992</v>
      </c>
      <c r="AA87" s="2" t="s">
        <v>156</v>
      </c>
      <c r="AB87" s="2" t="s">
        <v>993</v>
      </c>
      <c r="AC87" s="2" t="s">
        <v>994</v>
      </c>
      <c r="AD87" s="2" t="s">
        <v>995</v>
      </c>
      <c r="AE87" s="2"/>
      <c r="AF87" s="4" t="s">
        <v>215</v>
      </c>
      <c r="AG87" s="6" t="s">
        <v>987</v>
      </c>
    </row>
    <row r="88" spans="1:33" ht="26">
      <c r="A88" s="8">
        <v>84</v>
      </c>
      <c r="B88" s="9" t="str">
        <f t="shared" si="6"/>
        <v>C-补充候选</v>
      </c>
      <c r="C88" s="2" t="s">
        <v>996</v>
      </c>
      <c r="D88" s="9" t="s">
        <v>473</v>
      </c>
      <c r="E88" s="4" t="s">
        <v>474</v>
      </c>
      <c r="F88" s="12" t="s">
        <v>300</v>
      </c>
      <c r="G88" s="12" t="s">
        <v>39</v>
      </c>
      <c r="H88" s="12" t="s">
        <v>69</v>
      </c>
      <c r="I88" s="9" t="s">
        <v>997</v>
      </c>
      <c r="J88" s="9" t="s">
        <v>204</v>
      </c>
      <c r="K88" s="9">
        <v>2024</v>
      </c>
      <c r="L88" s="4" t="s">
        <v>998</v>
      </c>
      <c r="M88" s="4" t="s">
        <v>999</v>
      </c>
      <c r="N88" s="12" t="s">
        <v>251</v>
      </c>
      <c r="O88" s="16">
        <v>5</v>
      </c>
      <c r="P88" s="16">
        <v>3</v>
      </c>
      <c r="Q88" s="16">
        <v>1</v>
      </c>
      <c r="R88" s="16">
        <v>2</v>
      </c>
      <c r="S88" s="16">
        <f t="shared" si="7"/>
        <v>76</v>
      </c>
      <c r="T88" s="16">
        <f t="shared" si="8"/>
        <v>76</v>
      </c>
      <c r="U88" s="4" t="s">
        <v>1000</v>
      </c>
      <c r="V88" s="2" t="s">
        <v>465</v>
      </c>
      <c r="W88" s="9">
        <v>2025</v>
      </c>
      <c r="X88" s="14">
        <v>7.5</v>
      </c>
      <c r="Y88" s="9">
        <v>2024</v>
      </c>
      <c r="Z88" s="2" t="s">
        <v>1001</v>
      </c>
      <c r="AA88" s="2" t="s">
        <v>467</v>
      </c>
      <c r="AB88" s="2" t="s">
        <v>1002</v>
      </c>
      <c r="AC88" s="2"/>
      <c r="AD88" s="2" t="s">
        <v>1003</v>
      </c>
      <c r="AE88" s="2" t="s">
        <v>1004</v>
      </c>
      <c r="AF88" s="4" t="s">
        <v>215</v>
      </c>
      <c r="AG88" s="6" t="s">
        <v>474</v>
      </c>
    </row>
    <row r="89" spans="1:33" ht="39">
      <c r="A89" s="8">
        <v>85</v>
      </c>
      <c r="B89" s="9" t="str">
        <f t="shared" si="6"/>
        <v>C-补充候选</v>
      </c>
      <c r="C89" s="2" t="s">
        <v>1005</v>
      </c>
      <c r="D89" s="9" t="s">
        <v>797</v>
      </c>
      <c r="E89" s="4" t="s">
        <v>798</v>
      </c>
      <c r="F89" s="12" t="s">
        <v>38</v>
      </c>
      <c r="G89" s="12" t="s">
        <v>39</v>
      </c>
      <c r="H89" s="12" t="s">
        <v>176</v>
      </c>
      <c r="I89" s="9" t="s">
        <v>1006</v>
      </c>
      <c r="J89" s="9" t="s">
        <v>204</v>
      </c>
      <c r="K89" s="9">
        <v>2026</v>
      </c>
      <c r="L89" s="4" t="s">
        <v>1007</v>
      </c>
      <c r="M89" s="4" t="s">
        <v>1008</v>
      </c>
      <c r="N89" s="12" t="s">
        <v>251</v>
      </c>
      <c r="O89" s="16">
        <v>5</v>
      </c>
      <c r="P89" s="16">
        <v>3</v>
      </c>
      <c r="Q89" s="16">
        <v>1</v>
      </c>
      <c r="R89" s="16">
        <v>2</v>
      </c>
      <c r="S89" s="16">
        <f t="shared" si="7"/>
        <v>76</v>
      </c>
      <c r="T89" s="16">
        <f t="shared" si="8"/>
        <v>76</v>
      </c>
      <c r="U89" s="4" t="s">
        <v>1009</v>
      </c>
      <c r="V89" s="2" t="s">
        <v>154</v>
      </c>
      <c r="W89" s="9">
        <v>2024</v>
      </c>
      <c r="X89" s="14">
        <v>15</v>
      </c>
      <c r="Y89" s="9">
        <v>2025</v>
      </c>
      <c r="Z89" s="2" t="s">
        <v>1010</v>
      </c>
      <c r="AA89" s="2" t="s">
        <v>156</v>
      </c>
      <c r="AB89" s="2" t="s">
        <v>1011</v>
      </c>
      <c r="AC89" s="2" t="s">
        <v>844</v>
      </c>
      <c r="AD89" s="2" t="s">
        <v>1012</v>
      </c>
      <c r="AE89" s="2" t="s">
        <v>1013</v>
      </c>
      <c r="AF89" s="4" t="s">
        <v>215</v>
      </c>
      <c r="AG89" s="6" t="s">
        <v>1014</v>
      </c>
    </row>
    <row r="90" spans="1:33" ht="78">
      <c r="A90" s="8">
        <v>86</v>
      </c>
      <c r="B90" s="9" t="str">
        <f t="shared" si="6"/>
        <v>C-补充候选</v>
      </c>
      <c r="C90" s="2" t="s">
        <v>1015</v>
      </c>
      <c r="D90" s="9" t="s">
        <v>259</v>
      </c>
      <c r="E90" s="4" t="s">
        <v>883</v>
      </c>
      <c r="F90" s="12" t="s">
        <v>38</v>
      </c>
      <c r="G90" s="12" t="s">
        <v>39</v>
      </c>
      <c r="H90" s="12" t="s">
        <v>69</v>
      </c>
      <c r="I90" s="9" t="s">
        <v>1016</v>
      </c>
      <c r="J90" s="9" t="s">
        <v>204</v>
      </c>
      <c r="K90" s="9">
        <v>2025</v>
      </c>
      <c r="L90" s="4" t="s">
        <v>1017</v>
      </c>
      <c r="M90" s="4" t="s">
        <v>1018</v>
      </c>
      <c r="N90" s="12" t="s">
        <v>251</v>
      </c>
      <c r="O90" s="16">
        <v>5</v>
      </c>
      <c r="P90" s="16">
        <v>3</v>
      </c>
      <c r="Q90" s="16">
        <v>1</v>
      </c>
      <c r="R90" s="16">
        <v>2</v>
      </c>
      <c r="S90" s="16">
        <f t="shared" si="7"/>
        <v>76</v>
      </c>
      <c r="T90" s="16">
        <f t="shared" si="8"/>
        <v>76</v>
      </c>
      <c r="U90" s="4" t="s">
        <v>1019</v>
      </c>
      <c r="V90" s="2" t="s">
        <v>62</v>
      </c>
      <c r="W90" s="9">
        <v>2025</v>
      </c>
      <c r="X90" s="14">
        <v>18.100000000000001</v>
      </c>
      <c r="Y90" s="9">
        <v>2025</v>
      </c>
      <c r="Z90" s="2" t="s">
        <v>1020</v>
      </c>
      <c r="AA90" s="2" t="s">
        <v>64</v>
      </c>
      <c r="AB90" s="2" t="s">
        <v>1021</v>
      </c>
      <c r="AC90" s="2" t="s">
        <v>890</v>
      </c>
      <c r="AD90" s="2" t="s">
        <v>1022</v>
      </c>
      <c r="AE90" s="2" t="s">
        <v>1023</v>
      </c>
      <c r="AF90" s="4" t="s">
        <v>215</v>
      </c>
      <c r="AG90" s="6" t="s">
        <v>1024</v>
      </c>
    </row>
    <row r="91" spans="1:33" ht="26">
      <c r="A91" s="8">
        <v>87</v>
      </c>
      <c r="B91" s="9" t="str">
        <f t="shared" si="6"/>
        <v>C-补充候选</v>
      </c>
      <c r="C91" s="2" t="s">
        <v>1025</v>
      </c>
      <c r="D91" s="9" t="s">
        <v>259</v>
      </c>
      <c r="E91" s="4" t="s">
        <v>883</v>
      </c>
      <c r="F91" s="12" t="s">
        <v>38</v>
      </c>
      <c r="G91" s="12" t="s">
        <v>39</v>
      </c>
      <c r="H91" s="12" t="s">
        <v>176</v>
      </c>
      <c r="I91" s="9" t="s">
        <v>1026</v>
      </c>
      <c r="J91" s="9" t="s">
        <v>204</v>
      </c>
      <c r="K91" s="9">
        <v>2026</v>
      </c>
      <c r="L91" s="4" t="s">
        <v>1027</v>
      </c>
      <c r="M91" s="4" t="s">
        <v>1028</v>
      </c>
      <c r="N91" s="12" t="s">
        <v>251</v>
      </c>
      <c r="O91" s="16">
        <v>5</v>
      </c>
      <c r="P91" s="16">
        <v>3</v>
      </c>
      <c r="Q91" s="16">
        <v>1</v>
      </c>
      <c r="R91" s="16">
        <v>2</v>
      </c>
      <c r="S91" s="16">
        <f t="shared" si="7"/>
        <v>76</v>
      </c>
      <c r="T91" s="16">
        <f t="shared" si="8"/>
        <v>76</v>
      </c>
      <c r="U91" s="4" t="s">
        <v>1029</v>
      </c>
      <c r="V91" s="2" t="s">
        <v>168</v>
      </c>
      <c r="W91" s="9">
        <v>2022</v>
      </c>
      <c r="X91" s="14">
        <v>17.3</v>
      </c>
      <c r="Y91" s="9">
        <v>2024</v>
      </c>
      <c r="Z91" s="2" t="s">
        <v>1030</v>
      </c>
      <c r="AA91" s="2" t="s">
        <v>170</v>
      </c>
      <c r="AB91" s="2" t="s">
        <v>1031</v>
      </c>
      <c r="AC91" s="2" t="s">
        <v>890</v>
      </c>
      <c r="AD91" s="2" t="s">
        <v>1032</v>
      </c>
      <c r="AE91" s="2" t="s">
        <v>1033</v>
      </c>
      <c r="AF91" s="4" t="s">
        <v>516</v>
      </c>
      <c r="AG91" s="6" t="s">
        <v>1034</v>
      </c>
    </row>
    <row r="92" spans="1:33" ht="26">
      <c r="A92" s="8">
        <v>88</v>
      </c>
      <c r="B92" s="9" t="str">
        <f t="shared" si="6"/>
        <v>C-补充候选</v>
      </c>
      <c r="C92" s="2" t="s">
        <v>1035</v>
      </c>
      <c r="D92" s="9" t="s">
        <v>348</v>
      </c>
      <c r="E92" s="4" t="s">
        <v>349</v>
      </c>
      <c r="F92" s="12" t="s">
        <v>38</v>
      </c>
      <c r="G92" s="12" t="s">
        <v>39</v>
      </c>
      <c r="H92" s="12" t="s">
        <v>176</v>
      </c>
      <c r="I92" s="9" t="s">
        <v>1036</v>
      </c>
      <c r="J92" s="9" t="s">
        <v>204</v>
      </c>
      <c r="K92" s="9">
        <v>2026</v>
      </c>
      <c r="L92" s="4" t="s">
        <v>1037</v>
      </c>
      <c r="M92" s="4" t="s">
        <v>1038</v>
      </c>
      <c r="N92" s="12" t="s">
        <v>251</v>
      </c>
      <c r="O92" s="16">
        <v>5</v>
      </c>
      <c r="P92" s="16">
        <v>3</v>
      </c>
      <c r="Q92" s="16">
        <v>1</v>
      </c>
      <c r="R92" s="16">
        <v>2</v>
      </c>
      <c r="S92" s="16">
        <f t="shared" si="7"/>
        <v>76</v>
      </c>
      <c r="T92" s="16">
        <f t="shared" si="8"/>
        <v>76</v>
      </c>
      <c r="U92" s="4" t="s">
        <v>1039</v>
      </c>
      <c r="V92" s="2" t="s">
        <v>62</v>
      </c>
      <c r="W92" s="9">
        <v>2026</v>
      </c>
      <c r="X92" s="14">
        <v>18.100000000000001</v>
      </c>
      <c r="Y92" s="9">
        <v>2025</v>
      </c>
      <c r="Z92" s="2" t="s">
        <v>1040</v>
      </c>
      <c r="AA92" s="2" t="s">
        <v>64</v>
      </c>
      <c r="AB92" s="2" t="s">
        <v>1041</v>
      </c>
      <c r="AC92" s="2" t="s">
        <v>1042</v>
      </c>
      <c r="AD92" s="2" t="s">
        <v>1043</v>
      </c>
      <c r="AE92" s="2" t="s">
        <v>1044</v>
      </c>
      <c r="AF92" s="4" t="s">
        <v>215</v>
      </c>
      <c r="AG92" s="6" t="s">
        <v>349</v>
      </c>
    </row>
    <row r="93" spans="1:33" ht="26">
      <c r="A93" s="8">
        <v>89</v>
      </c>
      <c r="B93" s="9" t="str">
        <f t="shared" si="6"/>
        <v>C-补充候选</v>
      </c>
      <c r="C93" s="2" t="s">
        <v>1045</v>
      </c>
      <c r="D93" s="9" t="s">
        <v>348</v>
      </c>
      <c r="E93" s="4" t="s">
        <v>349</v>
      </c>
      <c r="F93" s="12" t="s">
        <v>38</v>
      </c>
      <c r="G93" s="12" t="s">
        <v>39</v>
      </c>
      <c r="H93" s="12" t="s">
        <v>69</v>
      </c>
      <c r="I93" s="9" t="s">
        <v>1046</v>
      </c>
      <c r="J93" s="9" t="s">
        <v>204</v>
      </c>
      <c r="K93" s="9">
        <v>2025</v>
      </c>
      <c r="L93" s="4" t="s">
        <v>1047</v>
      </c>
      <c r="M93" s="4" t="s">
        <v>1048</v>
      </c>
      <c r="N93" s="12" t="s">
        <v>251</v>
      </c>
      <c r="O93" s="16">
        <v>5</v>
      </c>
      <c r="P93" s="16">
        <v>3</v>
      </c>
      <c r="Q93" s="16">
        <v>1</v>
      </c>
      <c r="R93" s="16">
        <v>2</v>
      </c>
      <c r="S93" s="16">
        <f t="shared" si="7"/>
        <v>76</v>
      </c>
      <c r="T93" s="16">
        <f t="shared" si="8"/>
        <v>76</v>
      </c>
      <c r="U93" s="4" t="s">
        <v>1049</v>
      </c>
      <c r="V93" s="2" t="s">
        <v>208</v>
      </c>
      <c r="W93" s="9">
        <v>2025</v>
      </c>
      <c r="X93" s="14">
        <v>12.1</v>
      </c>
      <c r="Y93" s="9">
        <v>2024</v>
      </c>
      <c r="Z93" s="2" t="s">
        <v>1050</v>
      </c>
      <c r="AA93" s="2" t="s">
        <v>210</v>
      </c>
      <c r="AB93" s="2" t="s">
        <v>1051</v>
      </c>
      <c r="AC93" s="2" t="s">
        <v>1042</v>
      </c>
      <c r="AD93" s="2" t="s">
        <v>1052</v>
      </c>
      <c r="AE93" s="2" t="s">
        <v>1053</v>
      </c>
      <c r="AF93" s="4" t="s">
        <v>215</v>
      </c>
      <c r="AG93" s="6" t="s">
        <v>1054</v>
      </c>
    </row>
    <row r="94" spans="1:33" ht="26">
      <c r="A94" s="8">
        <v>90</v>
      </c>
      <c r="B94" s="9" t="str">
        <f t="shared" si="6"/>
        <v>C-补充候选</v>
      </c>
      <c r="C94" s="2" t="s">
        <v>1055</v>
      </c>
      <c r="D94" s="9" t="s">
        <v>348</v>
      </c>
      <c r="E94" s="4" t="s">
        <v>349</v>
      </c>
      <c r="F94" s="12" t="s">
        <v>38</v>
      </c>
      <c r="G94" s="12" t="s">
        <v>39</v>
      </c>
      <c r="H94" s="12" t="s">
        <v>69</v>
      </c>
      <c r="I94" s="9" t="s">
        <v>1056</v>
      </c>
      <c r="J94" s="9" t="s">
        <v>204</v>
      </c>
      <c r="K94" s="9">
        <v>2025</v>
      </c>
      <c r="L94" s="4" t="s">
        <v>1057</v>
      </c>
      <c r="M94" s="4" t="s">
        <v>1058</v>
      </c>
      <c r="N94" s="12" t="s">
        <v>251</v>
      </c>
      <c r="O94" s="16">
        <v>5</v>
      </c>
      <c r="P94" s="16">
        <v>3</v>
      </c>
      <c r="Q94" s="16">
        <v>1</v>
      </c>
      <c r="R94" s="16">
        <v>2</v>
      </c>
      <c r="S94" s="16">
        <f t="shared" si="7"/>
        <v>76</v>
      </c>
      <c r="T94" s="16">
        <f t="shared" si="8"/>
        <v>76</v>
      </c>
      <c r="U94" s="4" t="s">
        <v>1059</v>
      </c>
      <c r="V94" s="2" t="s">
        <v>390</v>
      </c>
      <c r="W94" s="9">
        <v>2025</v>
      </c>
      <c r="X94" s="14">
        <v>9.4</v>
      </c>
      <c r="Y94" s="9">
        <v>2024</v>
      </c>
      <c r="Z94" s="2" t="s">
        <v>1060</v>
      </c>
      <c r="AA94" s="2" t="s">
        <v>392</v>
      </c>
      <c r="AB94" s="2" t="s">
        <v>1061</v>
      </c>
      <c r="AC94" s="2" t="s">
        <v>1042</v>
      </c>
      <c r="AD94" s="2" t="s">
        <v>1062</v>
      </c>
      <c r="AE94" s="2" t="s">
        <v>1063</v>
      </c>
      <c r="AF94" s="4" t="s">
        <v>215</v>
      </c>
      <c r="AG94" s="6" t="s">
        <v>1064</v>
      </c>
    </row>
    <row r="95" spans="1:33" ht="26">
      <c r="A95" s="8">
        <v>91</v>
      </c>
      <c r="B95" s="9" t="str">
        <f t="shared" si="6"/>
        <v>C-补充候选</v>
      </c>
      <c r="C95" s="2" t="s">
        <v>1065</v>
      </c>
      <c r="D95" s="9" t="s">
        <v>162</v>
      </c>
      <c r="E95" s="4" t="s">
        <v>163</v>
      </c>
      <c r="F95" s="12" t="s">
        <v>300</v>
      </c>
      <c r="G95" s="12" t="s">
        <v>39</v>
      </c>
      <c r="H95" s="12" t="s">
        <v>69</v>
      </c>
      <c r="I95" s="9" t="s">
        <v>1066</v>
      </c>
      <c r="J95" s="9" t="s">
        <v>204</v>
      </c>
      <c r="K95" s="9">
        <v>2024</v>
      </c>
      <c r="L95" s="4" t="s">
        <v>1067</v>
      </c>
      <c r="M95" s="4" t="s">
        <v>1068</v>
      </c>
      <c r="N95" s="12" t="s">
        <v>251</v>
      </c>
      <c r="O95" s="16">
        <v>5</v>
      </c>
      <c r="P95" s="16">
        <v>3</v>
      </c>
      <c r="Q95" s="16">
        <v>1</v>
      </c>
      <c r="R95" s="16">
        <v>2</v>
      </c>
      <c r="S95" s="16">
        <f t="shared" si="7"/>
        <v>76</v>
      </c>
      <c r="T95" s="16">
        <f t="shared" si="8"/>
        <v>76</v>
      </c>
      <c r="U95" s="4" t="s">
        <v>1069</v>
      </c>
      <c r="V95" s="2" t="s">
        <v>62</v>
      </c>
      <c r="W95" s="9">
        <v>2025</v>
      </c>
      <c r="X95" s="14">
        <v>18.100000000000001</v>
      </c>
      <c r="Y95" s="9">
        <v>2025</v>
      </c>
      <c r="Z95" s="2" t="s">
        <v>1070</v>
      </c>
      <c r="AA95" s="2" t="s">
        <v>64</v>
      </c>
      <c r="AB95" s="2" t="s">
        <v>1071</v>
      </c>
      <c r="AC95" s="2"/>
      <c r="AD95" s="2" t="s">
        <v>1072</v>
      </c>
      <c r="AE95" s="2" t="s">
        <v>1073</v>
      </c>
      <c r="AF95" s="4" t="s">
        <v>215</v>
      </c>
      <c r="AG95" s="6" t="s">
        <v>1074</v>
      </c>
    </row>
    <row r="96" spans="1:33" ht="39">
      <c r="A96" s="8">
        <v>92</v>
      </c>
      <c r="B96" s="9" t="str">
        <f t="shared" si="6"/>
        <v>C-补充候选</v>
      </c>
      <c r="C96" s="2" t="s">
        <v>1075</v>
      </c>
      <c r="D96" s="9" t="s">
        <v>348</v>
      </c>
      <c r="E96" s="4" t="s">
        <v>870</v>
      </c>
      <c r="F96" s="12" t="s">
        <v>300</v>
      </c>
      <c r="G96" s="12" t="s">
        <v>39</v>
      </c>
      <c r="H96" s="12" t="s">
        <v>69</v>
      </c>
      <c r="I96" s="9" t="s">
        <v>1076</v>
      </c>
      <c r="J96" s="9" t="s">
        <v>204</v>
      </c>
      <c r="K96" s="9">
        <v>2026</v>
      </c>
      <c r="L96" s="4" t="s">
        <v>1077</v>
      </c>
      <c r="M96" s="4" t="s">
        <v>477</v>
      </c>
      <c r="N96" s="12" t="s">
        <v>251</v>
      </c>
      <c r="O96" s="16">
        <v>5</v>
      </c>
      <c r="P96" s="16">
        <v>3</v>
      </c>
      <c r="Q96" s="16">
        <v>1</v>
      </c>
      <c r="R96" s="16">
        <v>2</v>
      </c>
      <c r="S96" s="16">
        <f t="shared" si="7"/>
        <v>76</v>
      </c>
      <c r="T96" s="16">
        <f t="shared" si="8"/>
        <v>76</v>
      </c>
      <c r="U96" s="4" t="s">
        <v>1078</v>
      </c>
      <c r="V96" s="2" t="s">
        <v>154</v>
      </c>
      <c r="W96" s="9">
        <v>2026</v>
      </c>
      <c r="X96" s="14">
        <v>15</v>
      </c>
      <c r="Y96" s="9">
        <v>2025</v>
      </c>
      <c r="Z96" s="2" t="s">
        <v>1079</v>
      </c>
      <c r="AA96" s="2" t="s">
        <v>156</v>
      </c>
      <c r="AB96" s="2" t="s">
        <v>1080</v>
      </c>
      <c r="AC96" s="2"/>
      <c r="AD96" s="2" t="s">
        <v>1081</v>
      </c>
      <c r="AE96" s="2" t="s">
        <v>1082</v>
      </c>
      <c r="AF96" s="4" t="s">
        <v>215</v>
      </c>
      <c r="AG96" s="6" t="s">
        <v>1083</v>
      </c>
    </row>
    <row r="97" spans="1:33" ht="26">
      <c r="A97" s="8">
        <v>93</v>
      </c>
      <c r="B97" s="9" t="str">
        <f t="shared" si="6"/>
        <v>C-补充候选</v>
      </c>
      <c r="C97" s="2" t="s">
        <v>1084</v>
      </c>
      <c r="D97" s="9" t="s">
        <v>162</v>
      </c>
      <c r="E97" s="4" t="s">
        <v>163</v>
      </c>
      <c r="F97" s="12" t="s">
        <v>38</v>
      </c>
      <c r="G97" s="12" t="s">
        <v>39</v>
      </c>
      <c r="H97" s="12" t="s">
        <v>69</v>
      </c>
      <c r="I97" s="9" t="s">
        <v>1085</v>
      </c>
      <c r="J97" s="9" t="s">
        <v>204</v>
      </c>
      <c r="K97" s="9">
        <v>2025</v>
      </c>
      <c r="L97" s="4" t="s">
        <v>1086</v>
      </c>
      <c r="M97" s="4" t="s">
        <v>1087</v>
      </c>
      <c r="N97" s="12" t="s">
        <v>251</v>
      </c>
      <c r="O97" s="16">
        <v>5</v>
      </c>
      <c r="P97" s="16">
        <v>3</v>
      </c>
      <c r="Q97" s="16">
        <v>1</v>
      </c>
      <c r="R97" s="16">
        <v>2</v>
      </c>
      <c r="S97" s="16">
        <f t="shared" si="7"/>
        <v>76</v>
      </c>
      <c r="T97" s="16">
        <f t="shared" si="8"/>
        <v>76</v>
      </c>
      <c r="U97" s="4" t="s">
        <v>207</v>
      </c>
      <c r="V97" s="2" t="s">
        <v>208</v>
      </c>
      <c r="W97" s="9">
        <v>2025</v>
      </c>
      <c r="X97" s="14">
        <v>12.1</v>
      </c>
      <c r="Y97" s="9">
        <v>2024</v>
      </c>
      <c r="Z97" s="2" t="s">
        <v>209</v>
      </c>
      <c r="AA97" s="2" t="s">
        <v>210</v>
      </c>
      <c r="AB97" s="2" t="s">
        <v>1088</v>
      </c>
      <c r="AC97" s="2" t="s">
        <v>674</v>
      </c>
      <c r="AD97" s="2" t="s">
        <v>1089</v>
      </c>
      <c r="AE97" s="2" t="s">
        <v>1090</v>
      </c>
      <c r="AF97" s="4" t="s">
        <v>215</v>
      </c>
      <c r="AG97" s="6" t="s">
        <v>1091</v>
      </c>
    </row>
    <row r="98" spans="1:33" ht="26">
      <c r="A98" s="8">
        <v>94</v>
      </c>
      <c r="B98" s="9" t="str">
        <f t="shared" si="6"/>
        <v>C-补充候选</v>
      </c>
      <c r="C98" s="2" t="s">
        <v>1092</v>
      </c>
      <c r="D98" s="9" t="s">
        <v>103</v>
      </c>
      <c r="E98" s="4" t="s">
        <v>1093</v>
      </c>
      <c r="F98" s="12" t="s">
        <v>300</v>
      </c>
      <c r="G98" s="12" t="s">
        <v>39</v>
      </c>
      <c r="H98" s="12" t="s">
        <v>176</v>
      </c>
      <c r="I98" s="9" t="s">
        <v>1094</v>
      </c>
      <c r="J98" s="9" t="s">
        <v>204</v>
      </c>
      <c r="K98" s="9">
        <v>2025</v>
      </c>
      <c r="L98" s="4" t="s">
        <v>1095</v>
      </c>
      <c r="M98" s="4" t="s">
        <v>1096</v>
      </c>
      <c r="N98" s="12" t="s">
        <v>251</v>
      </c>
      <c r="O98" s="16">
        <v>5</v>
      </c>
      <c r="P98" s="16">
        <v>3</v>
      </c>
      <c r="Q98" s="16">
        <v>1</v>
      </c>
      <c r="R98" s="16">
        <v>2</v>
      </c>
      <c r="S98" s="16">
        <f t="shared" si="7"/>
        <v>76</v>
      </c>
      <c r="T98" s="16">
        <f t="shared" si="8"/>
        <v>76</v>
      </c>
      <c r="U98" s="4" t="s">
        <v>862</v>
      </c>
      <c r="V98" s="2" t="s">
        <v>121</v>
      </c>
      <c r="W98" s="9">
        <v>2025</v>
      </c>
      <c r="X98" s="14">
        <v>42.5</v>
      </c>
      <c r="Y98" s="9">
        <v>2024</v>
      </c>
      <c r="Z98" s="2" t="s">
        <v>863</v>
      </c>
      <c r="AA98" s="2" t="s">
        <v>123</v>
      </c>
      <c r="AB98" s="2" t="s">
        <v>1097</v>
      </c>
      <c r="AC98" s="2"/>
      <c r="AD98" s="2" t="s">
        <v>1098</v>
      </c>
      <c r="AE98" s="2" t="s">
        <v>1099</v>
      </c>
      <c r="AF98" s="4" t="s">
        <v>215</v>
      </c>
      <c r="AG98" s="6" t="s">
        <v>1100</v>
      </c>
    </row>
    <row r="99" spans="1:33" ht="26">
      <c r="A99" s="8">
        <v>95</v>
      </c>
      <c r="B99" s="9" t="str">
        <f t="shared" si="6"/>
        <v>C-补充候选</v>
      </c>
      <c r="C99" s="2" t="s">
        <v>1101</v>
      </c>
      <c r="D99" s="9" t="s">
        <v>259</v>
      </c>
      <c r="E99" s="4" t="s">
        <v>883</v>
      </c>
      <c r="F99" s="12" t="s">
        <v>300</v>
      </c>
      <c r="G99" s="12" t="s">
        <v>39</v>
      </c>
      <c r="H99" s="12" t="s">
        <v>69</v>
      </c>
      <c r="I99" s="9" t="s">
        <v>1102</v>
      </c>
      <c r="J99" s="9" t="s">
        <v>204</v>
      </c>
      <c r="K99" s="9">
        <v>2026</v>
      </c>
      <c r="L99" s="4" t="s">
        <v>1103</v>
      </c>
      <c r="M99" s="4" t="s">
        <v>1104</v>
      </c>
      <c r="N99" s="12" t="s">
        <v>251</v>
      </c>
      <c r="O99" s="16">
        <v>5</v>
      </c>
      <c r="P99" s="16">
        <v>3</v>
      </c>
      <c r="Q99" s="16">
        <v>1</v>
      </c>
      <c r="R99" s="16">
        <v>2</v>
      </c>
      <c r="S99" s="16">
        <f t="shared" si="7"/>
        <v>76</v>
      </c>
      <c r="T99" s="16">
        <f t="shared" si="8"/>
        <v>76</v>
      </c>
      <c r="U99" s="4" t="s">
        <v>1105</v>
      </c>
      <c r="V99" s="2" t="s">
        <v>109</v>
      </c>
      <c r="W99" s="9">
        <v>2026</v>
      </c>
      <c r="X99" s="14">
        <v>48.5</v>
      </c>
      <c r="Y99" s="9">
        <v>2024</v>
      </c>
      <c r="Z99" s="2" t="s">
        <v>1106</v>
      </c>
      <c r="AA99" s="2" t="s">
        <v>111</v>
      </c>
      <c r="AB99" s="2" t="s">
        <v>1107</v>
      </c>
      <c r="AC99" s="2"/>
      <c r="AD99" s="2" t="s">
        <v>1108</v>
      </c>
      <c r="AE99" s="2" t="s">
        <v>1109</v>
      </c>
      <c r="AF99" s="4" t="s">
        <v>215</v>
      </c>
      <c r="AG99" s="6" t="s">
        <v>1110</v>
      </c>
    </row>
    <row r="100" spans="1:33" ht="39">
      <c r="A100" s="8">
        <v>96</v>
      </c>
      <c r="B100" s="9" t="str">
        <f t="shared" si="6"/>
        <v>C-补充候选</v>
      </c>
      <c r="C100" s="2" t="s">
        <v>1111</v>
      </c>
      <c r="D100" s="9" t="s">
        <v>259</v>
      </c>
      <c r="E100" s="4" t="s">
        <v>1112</v>
      </c>
      <c r="F100" s="12" t="s">
        <v>38</v>
      </c>
      <c r="G100" s="12" t="s">
        <v>39</v>
      </c>
      <c r="H100" s="12" t="s">
        <v>176</v>
      </c>
      <c r="I100" s="9" t="s">
        <v>1113</v>
      </c>
      <c r="J100" s="9" t="s">
        <v>204</v>
      </c>
      <c r="K100" s="9">
        <v>2025</v>
      </c>
      <c r="L100" s="4" t="s">
        <v>1114</v>
      </c>
      <c r="M100" s="4" t="s">
        <v>1115</v>
      </c>
      <c r="N100" s="12" t="s">
        <v>251</v>
      </c>
      <c r="O100" s="16">
        <v>5</v>
      </c>
      <c r="P100" s="16">
        <v>3</v>
      </c>
      <c r="Q100" s="16">
        <v>1</v>
      </c>
      <c r="R100" s="16">
        <v>2</v>
      </c>
      <c r="S100" s="16">
        <f t="shared" si="7"/>
        <v>76</v>
      </c>
      <c r="T100" s="16">
        <f t="shared" si="8"/>
        <v>76</v>
      </c>
      <c r="U100" s="4" t="s">
        <v>1116</v>
      </c>
      <c r="V100" s="2" t="s">
        <v>154</v>
      </c>
      <c r="W100" s="9">
        <v>2025</v>
      </c>
      <c r="X100" s="14">
        <v>15</v>
      </c>
      <c r="Y100" s="9">
        <v>2025</v>
      </c>
      <c r="Z100" s="2" t="s">
        <v>1117</v>
      </c>
      <c r="AA100" s="2" t="s">
        <v>156</v>
      </c>
      <c r="AB100" s="2" t="s">
        <v>1118</v>
      </c>
      <c r="AC100" s="2" t="s">
        <v>1119</v>
      </c>
      <c r="AD100" s="2" t="s">
        <v>1120</v>
      </c>
      <c r="AE100" s="2" t="s">
        <v>1121</v>
      </c>
      <c r="AF100" s="4" t="s">
        <v>215</v>
      </c>
      <c r="AG100" s="6" t="s">
        <v>711</v>
      </c>
    </row>
    <row r="101" spans="1:33" ht="39">
      <c r="A101" s="8">
        <v>97</v>
      </c>
      <c r="B101" s="9" t="str">
        <f t="shared" ref="B101:B108" si="9">IF(T101&gt;=95,"A-优先联系",IF(T101&gt;=85,"B-重点关注","C-补充候选"))</f>
        <v>C-补充候选</v>
      </c>
      <c r="C101" s="2" t="s">
        <v>1122</v>
      </c>
      <c r="D101" s="9" t="s">
        <v>1123</v>
      </c>
      <c r="E101" s="4" t="s">
        <v>1124</v>
      </c>
      <c r="F101" s="12" t="s">
        <v>38</v>
      </c>
      <c r="G101" s="12" t="s">
        <v>39</v>
      </c>
      <c r="H101" s="12" t="s">
        <v>176</v>
      </c>
      <c r="I101" s="9" t="s">
        <v>1125</v>
      </c>
      <c r="J101" s="9" t="s">
        <v>204</v>
      </c>
      <c r="K101" s="9">
        <v>2025</v>
      </c>
      <c r="L101" s="4" t="s">
        <v>1126</v>
      </c>
      <c r="M101" s="4" t="s">
        <v>959</v>
      </c>
      <c r="N101" s="12" t="s">
        <v>251</v>
      </c>
      <c r="O101" s="16">
        <v>5</v>
      </c>
      <c r="P101" s="16">
        <v>3</v>
      </c>
      <c r="Q101" s="16">
        <v>1</v>
      </c>
      <c r="R101" s="16">
        <v>2</v>
      </c>
      <c r="S101" s="16">
        <f t="shared" ref="S101:S132" si="10">O101*7+P101*7+Q101*10+R101*5</f>
        <v>76</v>
      </c>
      <c r="T101" s="16">
        <f t="shared" ref="T101:T132" si="11">MIN(100,S101+IF(G101="青年/新组机会",5,0))</f>
        <v>76</v>
      </c>
      <c r="U101" s="4" t="s">
        <v>1127</v>
      </c>
      <c r="V101" s="2" t="s">
        <v>670</v>
      </c>
      <c r="W101" s="9">
        <v>2024</v>
      </c>
      <c r="X101" s="14">
        <v>50</v>
      </c>
      <c r="Y101" s="9">
        <v>2024</v>
      </c>
      <c r="Z101" s="2" t="s">
        <v>1128</v>
      </c>
      <c r="AA101" s="2" t="s">
        <v>672</v>
      </c>
      <c r="AB101" s="2" t="s">
        <v>1129</v>
      </c>
      <c r="AC101" s="2" t="s">
        <v>1130</v>
      </c>
      <c r="AD101" s="2" t="s">
        <v>1131</v>
      </c>
      <c r="AE101" s="2" t="s">
        <v>1132</v>
      </c>
      <c r="AF101" s="4" t="s">
        <v>215</v>
      </c>
      <c r="AG101" s="6" t="s">
        <v>1133</v>
      </c>
    </row>
    <row r="102" spans="1:33" ht="26">
      <c r="A102" s="8">
        <v>98</v>
      </c>
      <c r="B102" s="9" t="str">
        <f t="shared" si="9"/>
        <v>C-补充候选</v>
      </c>
      <c r="C102" s="2" t="s">
        <v>1134</v>
      </c>
      <c r="D102" s="9" t="s">
        <v>259</v>
      </c>
      <c r="E102" s="4" t="s">
        <v>1112</v>
      </c>
      <c r="F102" s="12" t="s">
        <v>38</v>
      </c>
      <c r="G102" s="12" t="s">
        <v>39</v>
      </c>
      <c r="H102" s="12" t="s">
        <v>176</v>
      </c>
      <c r="I102" s="9" t="s">
        <v>1135</v>
      </c>
      <c r="J102" s="9" t="s">
        <v>204</v>
      </c>
      <c r="K102" s="9">
        <v>2023</v>
      </c>
      <c r="L102" s="4" t="s">
        <v>1136</v>
      </c>
      <c r="M102" s="4" t="s">
        <v>1137</v>
      </c>
      <c r="N102" s="12" t="s">
        <v>251</v>
      </c>
      <c r="O102" s="16">
        <v>5</v>
      </c>
      <c r="P102" s="16">
        <v>3</v>
      </c>
      <c r="Q102" s="16">
        <v>1</v>
      </c>
      <c r="R102" s="16">
        <v>2</v>
      </c>
      <c r="S102" s="16">
        <f t="shared" si="10"/>
        <v>76</v>
      </c>
      <c r="T102" s="16">
        <f t="shared" si="11"/>
        <v>76</v>
      </c>
      <c r="U102" s="4" t="s">
        <v>1138</v>
      </c>
      <c r="V102" s="2" t="s">
        <v>154</v>
      </c>
      <c r="W102" s="9">
        <v>2023</v>
      </c>
      <c r="X102" s="14">
        <v>15</v>
      </c>
      <c r="Y102" s="9">
        <v>2025</v>
      </c>
      <c r="Z102" s="2" t="s">
        <v>1139</v>
      </c>
      <c r="AA102" s="2" t="s">
        <v>156</v>
      </c>
      <c r="AB102" s="2" t="s">
        <v>1140</v>
      </c>
      <c r="AC102" s="2" t="s">
        <v>1141</v>
      </c>
      <c r="AD102" s="2" t="s">
        <v>1142</v>
      </c>
      <c r="AE102" s="2" t="s">
        <v>1143</v>
      </c>
      <c r="AF102" s="4" t="s">
        <v>215</v>
      </c>
      <c r="AG102" s="6" t="s">
        <v>711</v>
      </c>
    </row>
    <row r="103" spans="1:33" ht="26">
      <c r="A103" s="8">
        <v>99</v>
      </c>
      <c r="B103" s="9" t="str">
        <f t="shared" si="9"/>
        <v>C-补充候选</v>
      </c>
      <c r="C103" s="2" t="s">
        <v>1144</v>
      </c>
      <c r="D103" s="9" t="s">
        <v>1145</v>
      </c>
      <c r="E103" s="4" t="s">
        <v>1146</v>
      </c>
      <c r="F103" s="12" t="s">
        <v>38</v>
      </c>
      <c r="G103" s="12" t="s">
        <v>39</v>
      </c>
      <c r="H103" s="12" t="s">
        <v>81</v>
      </c>
      <c r="I103" s="9" t="s">
        <v>1147</v>
      </c>
      <c r="J103" s="9" t="s">
        <v>204</v>
      </c>
      <c r="K103" s="9">
        <v>2025</v>
      </c>
      <c r="L103" s="4" t="s">
        <v>1148</v>
      </c>
      <c r="M103" s="4" t="s">
        <v>1149</v>
      </c>
      <c r="N103" s="12" t="s">
        <v>251</v>
      </c>
      <c r="O103" s="16">
        <v>5</v>
      </c>
      <c r="P103" s="16">
        <v>3</v>
      </c>
      <c r="Q103" s="16">
        <v>1</v>
      </c>
      <c r="R103" s="16">
        <v>2</v>
      </c>
      <c r="S103" s="16">
        <f t="shared" si="10"/>
        <v>76</v>
      </c>
      <c r="T103" s="16">
        <f t="shared" si="11"/>
        <v>76</v>
      </c>
      <c r="U103" s="4" t="s">
        <v>1150</v>
      </c>
      <c r="V103" s="2" t="s">
        <v>684</v>
      </c>
      <c r="W103" s="9">
        <v>2025</v>
      </c>
      <c r="X103" s="14">
        <v>32.1</v>
      </c>
      <c r="Y103" s="9">
        <v>2024</v>
      </c>
      <c r="Z103" s="2" t="s">
        <v>1151</v>
      </c>
      <c r="AA103" s="2" t="s">
        <v>686</v>
      </c>
      <c r="AB103" s="2" t="s">
        <v>1152</v>
      </c>
      <c r="AC103" s="2" t="s">
        <v>1153</v>
      </c>
      <c r="AD103" s="2" t="s">
        <v>1154</v>
      </c>
      <c r="AE103" s="2" t="s">
        <v>1155</v>
      </c>
      <c r="AF103" s="4" t="s">
        <v>215</v>
      </c>
      <c r="AG103" s="6" t="s">
        <v>1156</v>
      </c>
    </row>
    <row r="104" spans="1:33" ht="26">
      <c r="A104" s="8">
        <v>100</v>
      </c>
      <c r="B104" s="9" t="str">
        <f t="shared" si="9"/>
        <v>C-补充候选</v>
      </c>
      <c r="C104" s="2" t="s">
        <v>1157</v>
      </c>
      <c r="D104" s="9" t="s">
        <v>162</v>
      </c>
      <c r="E104" s="4" t="s">
        <v>216</v>
      </c>
      <c r="F104" s="12" t="s">
        <v>38</v>
      </c>
      <c r="G104" s="12" t="s">
        <v>39</v>
      </c>
      <c r="H104" s="12" t="s">
        <v>69</v>
      </c>
      <c r="I104" s="9" t="s">
        <v>1158</v>
      </c>
      <c r="J104" s="9" t="s">
        <v>204</v>
      </c>
      <c r="K104" s="9">
        <v>2024</v>
      </c>
      <c r="L104" s="4" t="s">
        <v>1159</v>
      </c>
      <c r="M104" s="4" t="s">
        <v>1160</v>
      </c>
      <c r="N104" s="12" t="s">
        <v>251</v>
      </c>
      <c r="O104" s="16">
        <v>5</v>
      </c>
      <c r="P104" s="16">
        <v>3</v>
      </c>
      <c r="Q104" s="16">
        <v>1</v>
      </c>
      <c r="R104" s="16">
        <v>2</v>
      </c>
      <c r="S104" s="16">
        <f t="shared" si="10"/>
        <v>76</v>
      </c>
      <c r="T104" s="16">
        <f t="shared" si="11"/>
        <v>76</v>
      </c>
      <c r="U104" s="4" t="s">
        <v>1161</v>
      </c>
      <c r="V104" s="2" t="s">
        <v>62</v>
      </c>
      <c r="W104" s="9">
        <v>2022</v>
      </c>
      <c r="X104" s="14">
        <v>18.100000000000001</v>
      </c>
      <c r="Y104" s="9">
        <v>2025</v>
      </c>
      <c r="Z104" s="2" t="s">
        <v>1162</v>
      </c>
      <c r="AA104" s="2" t="s">
        <v>64</v>
      </c>
      <c r="AB104" s="2" t="s">
        <v>1163</v>
      </c>
      <c r="AC104" s="2" t="s">
        <v>1164</v>
      </c>
      <c r="AD104" s="2" t="s">
        <v>1165</v>
      </c>
      <c r="AE104" s="2" t="s">
        <v>1166</v>
      </c>
      <c r="AF104" s="4" t="s">
        <v>215</v>
      </c>
      <c r="AG104" s="6" t="s">
        <v>216</v>
      </c>
    </row>
    <row r="105" spans="1:33" ht="26">
      <c r="A105" s="8">
        <v>101</v>
      </c>
      <c r="B105" s="9" t="str">
        <f t="shared" si="9"/>
        <v>C-补充候选</v>
      </c>
      <c r="C105" s="2" t="s">
        <v>1167</v>
      </c>
      <c r="D105" s="9" t="s">
        <v>162</v>
      </c>
      <c r="E105" s="4" t="s">
        <v>163</v>
      </c>
      <c r="F105" s="12" t="s">
        <v>38</v>
      </c>
      <c r="G105" s="12" t="s">
        <v>39</v>
      </c>
      <c r="H105" s="12" t="s">
        <v>81</v>
      </c>
      <c r="I105" s="9" t="s">
        <v>1168</v>
      </c>
      <c r="J105" s="9" t="s">
        <v>204</v>
      </c>
      <c r="K105" s="9">
        <v>2025</v>
      </c>
      <c r="L105" s="4" t="s">
        <v>1169</v>
      </c>
      <c r="M105" s="4" t="s">
        <v>1149</v>
      </c>
      <c r="N105" s="12" t="s">
        <v>251</v>
      </c>
      <c r="O105" s="16">
        <v>5</v>
      </c>
      <c r="P105" s="16">
        <v>3</v>
      </c>
      <c r="Q105" s="16">
        <v>1</v>
      </c>
      <c r="R105" s="16">
        <v>2</v>
      </c>
      <c r="S105" s="16">
        <f t="shared" si="10"/>
        <v>76</v>
      </c>
      <c r="T105" s="16">
        <f t="shared" si="11"/>
        <v>76</v>
      </c>
      <c r="U105" s="4" t="s">
        <v>1170</v>
      </c>
      <c r="V105" s="2" t="s">
        <v>874</v>
      </c>
      <c r="W105" s="9">
        <v>2025</v>
      </c>
      <c r="X105" s="14">
        <v>33.1</v>
      </c>
      <c r="Y105" s="9">
        <v>2024</v>
      </c>
      <c r="Z105" s="2" t="s">
        <v>1171</v>
      </c>
      <c r="AA105" s="2" t="s">
        <v>876</v>
      </c>
      <c r="AB105" s="2" t="s">
        <v>1172</v>
      </c>
      <c r="AC105" s="2" t="s">
        <v>1173</v>
      </c>
      <c r="AD105" s="2" t="s">
        <v>1174</v>
      </c>
      <c r="AE105" s="2" t="s">
        <v>1175</v>
      </c>
      <c r="AF105" s="4" t="s">
        <v>215</v>
      </c>
      <c r="AG105" s="6" t="s">
        <v>1074</v>
      </c>
    </row>
    <row r="106" spans="1:33" ht="26">
      <c r="A106" s="8">
        <v>102</v>
      </c>
      <c r="B106" s="9" t="str">
        <f t="shared" si="9"/>
        <v>C-补充候选</v>
      </c>
      <c r="C106" s="2" t="s">
        <v>1176</v>
      </c>
      <c r="D106" s="9" t="s">
        <v>218</v>
      </c>
      <c r="E106" s="4" t="s">
        <v>374</v>
      </c>
      <c r="F106" s="12" t="s">
        <v>232</v>
      </c>
      <c r="G106" s="12" t="s">
        <v>39</v>
      </c>
      <c r="H106" s="12" t="s">
        <v>69</v>
      </c>
      <c r="I106" s="9" t="s">
        <v>1177</v>
      </c>
      <c r="J106" s="9" t="s">
        <v>204</v>
      </c>
      <c r="K106" s="9">
        <v>2025</v>
      </c>
      <c r="L106" s="4" t="s">
        <v>1178</v>
      </c>
      <c r="M106" s="4" t="s">
        <v>1179</v>
      </c>
      <c r="N106" s="12" t="s">
        <v>251</v>
      </c>
      <c r="O106" s="16">
        <v>5</v>
      </c>
      <c r="P106" s="16">
        <v>3</v>
      </c>
      <c r="Q106" s="16">
        <v>1</v>
      </c>
      <c r="R106" s="16">
        <v>2</v>
      </c>
      <c r="S106" s="16">
        <f t="shared" si="10"/>
        <v>76</v>
      </c>
      <c r="T106" s="16">
        <f t="shared" si="11"/>
        <v>76</v>
      </c>
      <c r="U106" s="4" t="s">
        <v>1180</v>
      </c>
      <c r="V106" s="2" t="s">
        <v>465</v>
      </c>
      <c r="W106" s="9">
        <v>2025</v>
      </c>
      <c r="X106" s="14">
        <v>7.5</v>
      </c>
      <c r="Y106" s="9">
        <v>2024</v>
      </c>
      <c r="Z106" s="2" t="s">
        <v>1181</v>
      </c>
      <c r="AA106" s="2" t="s">
        <v>467</v>
      </c>
      <c r="AB106" s="2" t="s">
        <v>1182</v>
      </c>
      <c r="AC106" s="2" t="s">
        <v>381</v>
      </c>
      <c r="AD106" s="2" t="s">
        <v>1183</v>
      </c>
      <c r="AE106" s="2" t="s">
        <v>1184</v>
      </c>
      <c r="AF106" s="4" t="s">
        <v>893</v>
      </c>
      <c r="AG106" s="6" t="s">
        <v>1185</v>
      </c>
    </row>
    <row r="107" spans="1:33" ht="26">
      <c r="A107" s="8">
        <v>103</v>
      </c>
      <c r="B107" s="9" t="str">
        <f t="shared" si="9"/>
        <v>C-补充候选</v>
      </c>
      <c r="C107" s="2" t="s">
        <v>1186</v>
      </c>
      <c r="D107" s="9" t="s">
        <v>103</v>
      </c>
      <c r="E107" s="4" t="s">
        <v>1187</v>
      </c>
      <c r="F107" s="12" t="s">
        <v>1188</v>
      </c>
      <c r="G107" s="12" t="s">
        <v>39</v>
      </c>
      <c r="H107" s="12" t="s">
        <v>176</v>
      </c>
      <c r="I107" s="9" t="s">
        <v>1189</v>
      </c>
      <c r="J107" s="9" t="s">
        <v>204</v>
      </c>
      <c r="K107" s="9">
        <v>2025</v>
      </c>
      <c r="L107" s="4" t="s">
        <v>1190</v>
      </c>
      <c r="M107" s="4" t="s">
        <v>1191</v>
      </c>
      <c r="N107" s="12" t="s">
        <v>251</v>
      </c>
      <c r="O107" s="16">
        <v>5</v>
      </c>
      <c r="P107" s="16">
        <v>3</v>
      </c>
      <c r="Q107" s="16">
        <v>1</v>
      </c>
      <c r="R107" s="16">
        <v>1</v>
      </c>
      <c r="S107" s="16">
        <f t="shared" si="10"/>
        <v>71</v>
      </c>
      <c r="T107" s="16">
        <f t="shared" si="11"/>
        <v>71</v>
      </c>
      <c r="U107" s="4" t="s">
        <v>1192</v>
      </c>
      <c r="V107" s="2" t="s">
        <v>154</v>
      </c>
      <c r="W107" s="9">
        <v>2026</v>
      </c>
      <c r="X107" s="14">
        <v>15</v>
      </c>
      <c r="Y107" s="9">
        <v>2025</v>
      </c>
      <c r="Z107" s="2" t="s">
        <v>1193</v>
      </c>
      <c r="AA107" s="2" t="s">
        <v>156</v>
      </c>
      <c r="AB107" s="2" t="s">
        <v>1194</v>
      </c>
      <c r="AC107" s="2"/>
      <c r="AD107" s="2" t="s">
        <v>1195</v>
      </c>
      <c r="AE107" s="2" t="s">
        <v>1196</v>
      </c>
      <c r="AF107" s="4" t="s">
        <v>893</v>
      </c>
      <c r="AG107" s="6"/>
    </row>
    <row r="108" spans="1:33" ht="26">
      <c r="A108" s="10">
        <v>104</v>
      </c>
      <c r="B108" s="11" t="str">
        <f t="shared" si="9"/>
        <v>C-补充候选</v>
      </c>
      <c r="C108" s="3" t="s">
        <v>1197</v>
      </c>
      <c r="D108" s="11" t="s">
        <v>1198</v>
      </c>
      <c r="E108" s="5" t="s">
        <v>1199</v>
      </c>
      <c r="F108" s="13" t="s">
        <v>38</v>
      </c>
      <c r="G108" s="13" t="s">
        <v>39</v>
      </c>
      <c r="H108" s="13" t="s">
        <v>69</v>
      </c>
      <c r="I108" s="11" t="s">
        <v>1200</v>
      </c>
      <c r="J108" s="11" t="s">
        <v>1201</v>
      </c>
      <c r="K108" s="11"/>
      <c r="L108" s="5" t="s">
        <v>1202</v>
      </c>
      <c r="M108" s="5" t="s">
        <v>1203</v>
      </c>
      <c r="N108" s="13" t="s">
        <v>251</v>
      </c>
      <c r="O108" s="17">
        <v>5</v>
      </c>
      <c r="P108" s="17">
        <v>3</v>
      </c>
      <c r="Q108" s="17">
        <v>0</v>
      </c>
      <c r="R108" s="17">
        <v>2</v>
      </c>
      <c r="S108" s="17">
        <f t="shared" si="10"/>
        <v>66</v>
      </c>
      <c r="T108" s="17">
        <f t="shared" si="11"/>
        <v>66</v>
      </c>
      <c r="U108" s="5" t="s">
        <v>1204</v>
      </c>
      <c r="V108" s="3" t="s">
        <v>62</v>
      </c>
      <c r="W108" s="11">
        <v>2024</v>
      </c>
      <c r="X108" s="15">
        <v>18.100000000000001</v>
      </c>
      <c r="Y108" s="11">
        <v>2025</v>
      </c>
      <c r="Z108" s="3" t="s">
        <v>1205</v>
      </c>
      <c r="AA108" s="3" t="s">
        <v>64</v>
      </c>
      <c r="AB108" s="3"/>
      <c r="AC108" s="3" t="s">
        <v>1206</v>
      </c>
      <c r="AD108" s="3" t="s">
        <v>1207</v>
      </c>
      <c r="AE108" s="3" t="s">
        <v>1208</v>
      </c>
      <c r="AF108" s="5" t="s">
        <v>1209</v>
      </c>
      <c r="AG108" s="7" t="s">
        <v>1210</v>
      </c>
    </row>
  </sheetData>
  <mergeCells count="2">
    <mergeCell ref="A1:T1"/>
    <mergeCell ref="A2:T2"/>
  </mergeCells>
  <conditionalFormatting sqref="B5:B108">
    <cfRule type="containsText" dxfId="3" priority="1" operator="containsText" text="A-"/>
    <cfRule type="containsText" dxfId="2" priority="2" operator="containsText" text="B-"/>
  </conditionalFormatting>
  <conditionalFormatting sqref="G5:G108">
    <cfRule type="containsText" dxfId="1" priority="3" operator="containsText" text="青年"/>
  </conditionalFormatting>
  <conditionalFormatting sqref="J5:J108">
    <cfRule type="containsText" dxfId="0" priority="4" operator="containsText" text="低"/>
  </conditionalFormatting>
  <conditionalFormatting sqref="T5:T108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showGridLines="0" tabSelected="1" topLeftCell="A10" workbookViewId="0">
      <selection activeCell="B24" sqref="B24"/>
    </sheetView>
  </sheetViews>
  <sheetFormatPr baseColWidth="10" defaultColWidth="8.83203125" defaultRowHeight="15"/>
  <cols>
    <col min="1" max="1" width="8" customWidth="1"/>
    <col min="2" max="2" width="22" customWidth="1"/>
    <col min="3" max="3" width="13" customWidth="1"/>
    <col min="4" max="4" width="32" customWidth="1"/>
    <col min="5" max="5" width="30" customWidth="1"/>
    <col min="6" max="6" width="24" customWidth="1"/>
    <col min="7" max="7" width="18" customWidth="1"/>
    <col min="8" max="8" width="38" customWidth="1"/>
    <col min="9" max="9" width="30" customWidth="1"/>
    <col min="10" max="10" width="11" customWidth="1"/>
    <col min="11" max="11" width="50" customWidth="1"/>
    <col min="12" max="12" width="46" customWidth="1"/>
  </cols>
  <sheetData>
    <row r="1" spans="1:12" ht="32" customHeight="1">
      <c r="A1" s="54" t="s">
        <v>1211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30" customHeight="1">
      <c r="A2" s="56" t="s">
        <v>1212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4" spans="1:12" ht="34" customHeight="1">
      <c r="A4" s="1" t="s">
        <v>1213</v>
      </c>
      <c r="B4" s="1" t="s">
        <v>4</v>
      </c>
      <c r="C4" s="1" t="s">
        <v>5</v>
      </c>
      <c r="D4" s="1" t="s">
        <v>6</v>
      </c>
      <c r="E4" s="1" t="s">
        <v>10</v>
      </c>
      <c r="F4" s="1" t="s">
        <v>11</v>
      </c>
      <c r="G4" s="1" t="s">
        <v>9</v>
      </c>
      <c r="H4" s="1" t="s">
        <v>13</v>
      </c>
      <c r="I4" s="1" t="s">
        <v>14</v>
      </c>
      <c r="J4" s="1" t="s">
        <v>21</v>
      </c>
      <c r="K4" s="1" t="s">
        <v>22</v>
      </c>
      <c r="L4" s="1" t="s">
        <v>33</v>
      </c>
    </row>
    <row r="5" spans="1:12" ht="26">
      <c r="A5" s="24">
        <v>1</v>
      </c>
      <c r="B5" s="18" t="s">
        <v>35</v>
      </c>
      <c r="C5" s="27" t="s">
        <v>36</v>
      </c>
      <c r="D5" s="18" t="s">
        <v>37</v>
      </c>
      <c r="E5" s="18" t="s">
        <v>41</v>
      </c>
      <c r="F5" s="18" t="s">
        <v>42</v>
      </c>
      <c r="G5" s="18" t="s">
        <v>40</v>
      </c>
      <c r="H5" s="18" t="s">
        <v>43</v>
      </c>
      <c r="I5" s="18" t="s">
        <v>44</v>
      </c>
      <c r="J5" s="27">
        <v>100</v>
      </c>
      <c r="K5" s="18" t="s">
        <v>46</v>
      </c>
      <c r="L5" s="19" t="s">
        <v>53</v>
      </c>
    </row>
    <row r="6" spans="1:12" ht="26">
      <c r="A6" s="25">
        <v>2</v>
      </c>
      <c r="B6" s="20" t="s">
        <v>55</v>
      </c>
      <c r="C6" s="28" t="s">
        <v>36</v>
      </c>
      <c r="D6" s="20" t="s">
        <v>56</v>
      </c>
      <c r="E6" s="20" t="s">
        <v>58</v>
      </c>
      <c r="F6" s="20" t="s">
        <v>42</v>
      </c>
      <c r="G6" s="20" t="s">
        <v>40</v>
      </c>
      <c r="H6" s="20" t="s">
        <v>59</v>
      </c>
      <c r="I6" s="20" t="s">
        <v>60</v>
      </c>
      <c r="J6" s="28">
        <v>100</v>
      </c>
      <c r="K6" s="20" t="s">
        <v>61</v>
      </c>
      <c r="L6" s="21" t="s">
        <v>53</v>
      </c>
    </row>
    <row r="7" spans="1:12" ht="26">
      <c r="A7" s="25">
        <v>3</v>
      </c>
      <c r="B7" s="20" t="s">
        <v>68</v>
      </c>
      <c r="C7" s="28" t="s">
        <v>36</v>
      </c>
      <c r="D7" s="20" t="s">
        <v>56</v>
      </c>
      <c r="E7" s="20" t="s">
        <v>70</v>
      </c>
      <c r="F7" s="20" t="s">
        <v>42</v>
      </c>
      <c r="G7" s="20" t="s">
        <v>69</v>
      </c>
      <c r="H7" s="20" t="s">
        <v>71</v>
      </c>
      <c r="I7" s="20" t="s">
        <v>72</v>
      </c>
      <c r="J7" s="28">
        <v>100</v>
      </c>
      <c r="K7" s="20" t="s">
        <v>73</v>
      </c>
      <c r="L7" s="21" t="s">
        <v>53</v>
      </c>
    </row>
    <row r="8" spans="1:12" ht="26">
      <c r="A8" s="25">
        <v>4</v>
      </c>
      <c r="B8" s="20" t="s">
        <v>80</v>
      </c>
      <c r="C8" s="28" t="s">
        <v>36</v>
      </c>
      <c r="D8" s="20" t="s">
        <v>56</v>
      </c>
      <c r="E8" s="20" t="s">
        <v>82</v>
      </c>
      <c r="F8" s="20" t="s">
        <v>42</v>
      </c>
      <c r="G8" s="20" t="s">
        <v>81</v>
      </c>
      <c r="H8" s="20" t="s">
        <v>83</v>
      </c>
      <c r="I8" s="20" t="s">
        <v>84</v>
      </c>
      <c r="J8" s="28">
        <v>100</v>
      </c>
      <c r="K8" s="20" t="s">
        <v>85</v>
      </c>
      <c r="L8" s="21" t="s">
        <v>90</v>
      </c>
    </row>
    <row r="9" spans="1:12" ht="26">
      <c r="A9" s="25">
        <v>5</v>
      </c>
      <c r="B9" s="20" t="s">
        <v>92</v>
      </c>
      <c r="C9" s="28" t="s">
        <v>36</v>
      </c>
      <c r="D9" s="20" t="s">
        <v>93</v>
      </c>
      <c r="E9" s="20" t="s">
        <v>94</v>
      </c>
      <c r="F9" s="20" t="s">
        <v>42</v>
      </c>
      <c r="G9" s="20" t="s">
        <v>40</v>
      </c>
      <c r="H9" s="20" t="s">
        <v>95</v>
      </c>
      <c r="I9" s="20" t="s">
        <v>96</v>
      </c>
      <c r="J9" s="28">
        <v>100</v>
      </c>
      <c r="K9" s="20" t="s">
        <v>97</v>
      </c>
      <c r="L9" s="21" t="s">
        <v>53</v>
      </c>
    </row>
    <row r="10" spans="1:12" ht="26">
      <c r="A10" s="25">
        <v>6</v>
      </c>
      <c r="B10" s="20" t="s">
        <v>102</v>
      </c>
      <c r="C10" s="28" t="s">
        <v>103</v>
      </c>
      <c r="D10" s="20" t="s">
        <v>104</v>
      </c>
      <c r="E10" s="20" t="s">
        <v>105</v>
      </c>
      <c r="F10" s="20" t="s">
        <v>42</v>
      </c>
      <c r="G10" s="20" t="s">
        <v>69</v>
      </c>
      <c r="H10" s="20" t="s">
        <v>106</v>
      </c>
      <c r="I10" s="20" t="s">
        <v>107</v>
      </c>
      <c r="J10" s="28">
        <v>100</v>
      </c>
      <c r="K10" s="20" t="s">
        <v>108</v>
      </c>
      <c r="L10" s="21" t="s">
        <v>53</v>
      </c>
    </row>
    <row r="11" spans="1:12">
      <c r="A11" s="25">
        <v>7</v>
      </c>
      <c r="B11" s="20" t="s">
        <v>116</v>
      </c>
      <c r="C11" s="28" t="s">
        <v>103</v>
      </c>
      <c r="D11" s="20" t="s">
        <v>104</v>
      </c>
      <c r="E11" s="20" t="s">
        <v>117</v>
      </c>
      <c r="F11" s="20" t="s">
        <v>42</v>
      </c>
      <c r="G11" s="20" t="s">
        <v>69</v>
      </c>
      <c r="H11" s="20" t="s">
        <v>118</v>
      </c>
      <c r="I11" s="20" t="s">
        <v>119</v>
      </c>
      <c r="J11" s="28">
        <v>100</v>
      </c>
      <c r="K11" s="20" t="s">
        <v>120</v>
      </c>
      <c r="L11" s="21" t="s">
        <v>53</v>
      </c>
    </row>
    <row r="12" spans="1:12" ht="26">
      <c r="A12" s="25">
        <v>8</v>
      </c>
      <c r="B12" s="20" t="s">
        <v>128</v>
      </c>
      <c r="C12" s="28" t="s">
        <v>36</v>
      </c>
      <c r="D12" s="20" t="s">
        <v>56</v>
      </c>
      <c r="E12" s="20" t="s">
        <v>129</v>
      </c>
      <c r="F12" s="20" t="s">
        <v>42</v>
      </c>
      <c r="G12" s="20" t="s">
        <v>81</v>
      </c>
      <c r="H12" s="20" t="s">
        <v>130</v>
      </c>
      <c r="I12" s="20" t="s">
        <v>131</v>
      </c>
      <c r="J12" s="28">
        <v>100</v>
      </c>
      <c r="K12" s="20" t="s">
        <v>132</v>
      </c>
      <c r="L12" s="21" t="s">
        <v>53</v>
      </c>
    </row>
    <row r="13" spans="1:12" ht="26">
      <c r="A13" s="25">
        <v>9</v>
      </c>
      <c r="B13" s="20" t="s">
        <v>137</v>
      </c>
      <c r="C13" s="28" t="s">
        <v>36</v>
      </c>
      <c r="D13" s="20" t="s">
        <v>56</v>
      </c>
      <c r="E13" s="20" t="s">
        <v>139</v>
      </c>
      <c r="F13" s="20" t="s">
        <v>42</v>
      </c>
      <c r="G13" s="20" t="s">
        <v>138</v>
      </c>
      <c r="H13" s="20" t="s">
        <v>140</v>
      </c>
      <c r="I13" s="20" t="s">
        <v>141</v>
      </c>
      <c r="J13" s="28">
        <v>100</v>
      </c>
      <c r="K13" s="20" t="s">
        <v>142</v>
      </c>
      <c r="L13" s="21" t="s">
        <v>90</v>
      </c>
    </row>
    <row r="14" spans="1:12" ht="26">
      <c r="A14" s="25">
        <v>10</v>
      </c>
      <c r="B14" s="20" t="s">
        <v>147</v>
      </c>
      <c r="C14" s="28" t="s">
        <v>148</v>
      </c>
      <c r="D14" s="20" t="s">
        <v>149</v>
      </c>
      <c r="E14" s="20" t="s">
        <v>150</v>
      </c>
      <c r="F14" s="20" t="s">
        <v>42</v>
      </c>
      <c r="G14" s="20" t="s">
        <v>40</v>
      </c>
      <c r="H14" s="20" t="s">
        <v>151</v>
      </c>
      <c r="I14" s="20" t="s">
        <v>152</v>
      </c>
      <c r="J14" s="28">
        <v>100</v>
      </c>
      <c r="K14" s="20" t="s">
        <v>153</v>
      </c>
      <c r="L14" s="21" t="s">
        <v>53</v>
      </c>
    </row>
    <row r="15" spans="1:12" s="65" customFormat="1" ht="26">
      <c r="A15" s="74">
        <v>11</v>
      </c>
      <c r="B15" s="75" t="s">
        <v>161</v>
      </c>
      <c r="C15" s="76" t="s">
        <v>162</v>
      </c>
      <c r="D15" s="75" t="s">
        <v>163</v>
      </c>
      <c r="E15" s="75" t="s">
        <v>164</v>
      </c>
      <c r="F15" s="75" t="s">
        <v>42</v>
      </c>
      <c r="G15" s="75" t="s">
        <v>69</v>
      </c>
      <c r="H15" s="75" t="s">
        <v>165</v>
      </c>
      <c r="I15" s="75" t="s">
        <v>166</v>
      </c>
      <c r="J15" s="76">
        <v>100</v>
      </c>
      <c r="K15" s="75" t="s">
        <v>167</v>
      </c>
      <c r="L15" s="77" t="s">
        <v>53</v>
      </c>
    </row>
    <row r="16" spans="1:12" ht="26">
      <c r="A16" s="25">
        <v>12</v>
      </c>
      <c r="B16" s="20" t="s">
        <v>175</v>
      </c>
      <c r="C16" s="28" t="s">
        <v>103</v>
      </c>
      <c r="D16" s="20" t="s">
        <v>104</v>
      </c>
      <c r="E16" s="20" t="s">
        <v>177</v>
      </c>
      <c r="F16" s="20" t="s">
        <v>42</v>
      </c>
      <c r="G16" s="20" t="s">
        <v>176</v>
      </c>
      <c r="H16" s="20" t="s">
        <v>178</v>
      </c>
      <c r="I16" s="20" t="s">
        <v>179</v>
      </c>
      <c r="J16" s="28">
        <v>100</v>
      </c>
      <c r="K16" s="20" t="s">
        <v>180</v>
      </c>
      <c r="L16" s="21" t="s">
        <v>53</v>
      </c>
    </row>
    <row r="17" spans="1:12" ht="39">
      <c r="A17" s="25">
        <v>13</v>
      </c>
      <c r="B17" s="20" t="s">
        <v>186</v>
      </c>
      <c r="C17" s="28" t="s">
        <v>36</v>
      </c>
      <c r="D17" s="20" t="s">
        <v>56</v>
      </c>
      <c r="E17" s="20" t="s">
        <v>187</v>
      </c>
      <c r="F17" s="20" t="s">
        <v>42</v>
      </c>
      <c r="G17" s="20" t="s">
        <v>40</v>
      </c>
      <c r="H17" s="20" t="s">
        <v>188</v>
      </c>
      <c r="I17" s="20" t="s">
        <v>189</v>
      </c>
      <c r="J17" s="28">
        <v>100</v>
      </c>
      <c r="K17" s="20" t="s">
        <v>190</v>
      </c>
      <c r="L17" s="21" t="s">
        <v>53</v>
      </c>
    </row>
    <row r="18" spans="1:12" ht="26">
      <c r="A18" s="25">
        <v>14</v>
      </c>
      <c r="B18" s="20" t="s">
        <v>193</v>
      </c>
      <c r="C18" s="28" t="s">
        <v>36</v>
      </c>
      <c r="D18" s="20" t="s">
        <v>56</v>
      </c>
      <c r="E18" s="20" t="s">
        <v>194</v>
      </c>
      <c r="F18" s="20" t="s">
        <v>42</v>
      </c>
      <c r="G18" s="20" t="s">
        <v>69</v>
      </c>
      <c r="H18" s="20" t="s">
        <v>195</v>
      </c>
      <c r="I18" s="20" t="s">
        <v>196</v>
      </c>
      <c r="J18" s="28">
        <v>100</v>
      </c>
      <c r="K18" s="20" t="s">
        <v>197</v>
      </c>
      <c r="L18" s="21" t="s">
        <v>53</v>
      </c>
    </row>
    <row r="19" spans="1:12" s="65" customFormat="1" ht="26">
      <c r="A19" s="74">
        <v>15</v>
      </c>
      <c r="B19" s="75" t="s">
        <v>201</v>
      </c>
      <c r="C19" s="76" t="s">
        <v>162</v>
      </c>
      <c r="D19" s="75" t="s">
        <v>202</v>
      </c>
      <c r="E19" s="75" t="s">
        <v>203</v>
      </c>
      <c r="F19" s="75" t="s">
        <v>204</v>
      </c>
      <c r="G19" s="75" t="s">
        <v>69</v>
      </c>
      <c r="H19" s="75" t="s">
        <v>205</v>
      </c>
      <c r="I19" s="75" t="s">
        <v>206</v>
      </c>
      <c r="J19" s="76">
        <v>95</v>
      </c>
      <c r="K19" s="75" t="s">
        <v>207</v>
      </c>
      <c r="L19" s="77" t="s">
        <v>215</v>
      </c>
    </row>
    <row r="20" spans="1:12" ht="26">
      <c r="A20" s="25">
        <v>16</v>
      </c>
      <c r="B20" s="20" t="s">
        <v>217</v>
      </c>
      <c r="C20" s="28" t="s">
        <v>218</v>
      </c>
      <c r="D20" s="20" t="s">
        <v>219</v>
      </c>
      <c r="E20" s="20" t="s">
        <v>220</v>
      </c>
      <c r="F20" s="20" t="s">
        <v>204</v>
      </c>
      <c r="G20" s="20" t="s">
        <v>69</v>
      </c>
      <c r="H20" s="20" t="s">
        <v>221</v>
      </c>
      <c r="I20" s="20" t="s">
        <v>119</v>
      </c>
      <c r="J20" s="28">
        <v>95</v>
      </c>
      <c r="K20" s="20" t="s">
        <v>222</v>
      </c>
      <c r="L20" s="21" t="s">
        <v>215</v>
      </c>
    </row>
    <row r="21" spans="1:12" ht="26">
      <c r="A21" s="25">
        <v>17</v>
      </c>
      <c r="B21" s="20" t="s">
        <v>231</v>
      </c>
      <c r="C21" s="28" t="s">
        <v>218</v>
      </c>
      <c r="D21" s="20" t="s">
        <v>219</v>
      </c>
      <c r="E21" s="20" t="s">
        <v>233</v>
      </c>
      <c r="F21" s="20" t="s">
        <v>234</v>
      </c>
      <c r="G21" s="20" t="s">
        <v>69</v>
      </c>
      <c r="H21" s="20" t="s">
        <v>235</v>
      </c>
      <c r="I21" s="20" t="s">
        <v>236</v>
      </c>
      <c r="J21" s="28">
        <v>95</v>
      </c>
      <c r="K21" s="20" t="s">
        <v>237</v>
      </c>
      <c r="L21" s="21" t="s">
        <v>245</v>
      </c>
    </row>
    <row r="22" spans="1:12" ht="26">
      <c r="A22" s="25">
        <v>19</v>
      </c>
      <c r="B22" s="20" t="s">
        <v>258</v>
      </c>
      <c r="C22" s="28" t="s">
        <v>259</v>
      </c>
      <c r="D22" s="20" t="s">
        <v>260</v>
      </c>
      <c r="E22" s="20" t="s">
        <v>261</v>
      </c>
      <c r="F22" s="20" t="s">
        <v>204</v>
      </c>
      <c r="G22" s="20" t="s">
        <v>69</v>
      </c>
      <c r="H22" s="20" t="s">
        <v>262</v>
      </c>
      <c r="I22" s="20" t="s">
        <v>263</v>
      </c>
      <c r="J22" s="28">
        <v>90</v>
      </c>
      <c r="K22" s="20" t="s">
        <v>264</v>
      </c>
      <c r="L22" s="21" t="s">
        <v>215</v>
      </c>
    </row>
    <row r="23" spans="1:12" ht="26">
      <c r="A23" s="25">
        <v>20</v>
      </c>
      <c r="B23" s="20" t="s">
        <v>271</v>
      </c>
      <c r="C23" s="28" t="s">
        <v>272</v>
      </c>
      <c r="D23" s="20" t="s">
        <v>273</v>
      </c>
      <c r="E23" s="20" t="s">
        <v>274</v>
      </c>
      <c r="F23" s="20" t="s">
        <v>204</v>
      </c>
      <c r="G23" s="20" t="s">
        <v>176</v>
      </c>
      <c r="H23" s="20" t="s">
        <v>275</v>
      </c>
      <c r="I23" s="20" t="s">
        <v>276</v>
      </c>
      <c r="J23" s="28">
        <v>90</v>
      </c>
      <c r="K23" s="20" t="s">
        <v>277</v>
      </c>
      <c r="L23" s="21" t="s">
        <v>215</v>
      </c>
    </row>
    <row r="24" spans="1:12" ht="26">
      <c r="A24" s="25">
        <v>21</v>
      </c>
      <c r="B24" s="20" t="s">
        <v>284</v>
      </c>
      <c r="C24" s="28" t="s">
        <v>285</v>
      </c>
      <c r="D24" s="20" t="s">
        <v>286</v>
      </c>
      <c r="E24" s="20" t="s">
        <v>287</v>
      </c>
      <c r="F24" s="20" t="s">
        <v>204</v>
      </c>
      <c r="G24" s="20" t="s">
        <v>81</v>
      </c>
      <c r="H24" s="20" t="s">
        <v>288</v>
      </c>
      <c r="I24" s="20" t="s">
        <v>289</v>
      </c>
      <c r="J24" s="28">
        <v>90</v>
      </c>
      <c r="K24" s="20" t="s">
        <v>290</v>
      </c>
      <c r="L24" s="21" t="s">
        <v>215</v>
      </c>
    </row>
    <row r="25" spans="1:12" ht="26">
      <c r="A25" s="25">
        <v>22</v>
      </c>
      <c r="B25" s="20" t="s">
        <v>297</v>
      </c>
      <c r="C25" s="28" t="s">
        <v>298</v>
      </c>
      <c r="D25" s="20" t="s">
        <v>299</v>
      </c>
      <c r="E25" s="20" t="s">
        <v>301</v>
      </c>
      <c r="F25" s="20" t="s">
        <v>204</v>
      </c>
      <c r="G25" s="20" t="s">
        <v>138</v>
      </c>
      <c r="H25" s="20" t="s">
        <v>302</v>
      </c>
      <c r="I25" s="20" t="s">
        <v>303</v>
      </c>
      <c r="J25" s="28">
        <v>90</v>
      </c>
      <c r="K25" s="20" t="s">
        <v>304</v>
      </c>
      <c r="L25" s="21" t="s">
        <v>215</v>
      </c>
    </row>
    <row r="26" spans="1:12" ht="26">
      <c r="A26" s="25">
        <v>23</v>
      </c>
      <c r="B26" s="20" t="s">
        <v>310</v>
      </c>
      <c r="C26" s="28" t="s">
        <v>103</v>
      </c>
      <c r="D26" s="20" t="s">
        <v>311</v>
      </c>
      <c r="E26" s="20" t="s">
        <v>312</v>
      </c>
      <c r="F26" s="20" t="s">
        <v>204</v>
      </c>
      <c r="G26" s="20" t="s">
        <v>40</v>
      </c>
      <c r="H26" s="20" t="s">
        <v>313</v>
      </c>
      <c r="I26" s="20" t="s">
        <v>189</v>
      </c>
      <c r="J26" s="28">
        <v>90</v>
      </c>
      <c r="K26" s="20" t="s">
        <v>314</v>
      </c>
      <c r="L26" s="21" t="s">
        <v>215</v>
      </c>
    </row>
    <row r="27" spans="1:12" ht="26">
      <c r="A27" s="25">
        <v>24</v>
      </c>
      <c r="B27" s="20" t="s">
        <v>321</v>
      </c>
      <c r="C27" s="28" t="s">
        <v>322</v>
      </c>
      <c r="D27" s="20" t="s">
        <v>323</v>
      </c>
      <c r="E27" s="20" t="s">
        <v>324</v>
      </c>
      <c r="F27" s="20" t="s">
        <v>204</v>
      </c>
      <c r="G27" s="20" t="s">
        <v>81</v>
      </c>
      <c r="H27" s="20" t="s">
        <v>325</v>
      </c>
      <c r="I27" s="20" t="s">
        <v>326</v>
      </c>
      <c r="J27" s="28">
        <v>90</v>
      </c>
      <c r="K27" s="20" t="s">
        <v>327</v>
      </c>
      <c r="L27" s="21" t="s">
        <v>215</v>
      </c>
    </row>
    <row r="28" spans="1:12" ht="26">
      <c r="A28" s="25">
        <v>25</v>
      </c>
      <c r="B28" s="20" t="s">
        <v>334</v>
      </c>
      <c r="C28" s="28" t="s">
        <v>335</v>
      </c>
      <c r="D28" s="20" t="s">
        <v>336</v>
      </c>
      <c r="E28" s="20" t="s">
        <v>337</v>
      </c>
      <c r="F28" s="20" t="s">
        <v>204</v>
      </c>
      <c r="G28" s="20" t="s">
        <v>69</v>
      </c>
      <c r="H28" s="20" t="s">
        <v>338</v>
      </c>
      <c r="I28" s="20" t="s">
        <v>339</v>
      </c>
      <c r="J28" s="28">
        <v>90</v>
      </c>
      <c r="K28" s="20" t="s">
        <v>340</v>
      </c>
      <c r="L28" s="21" t="s">
        <v>215</v>
      </c>
    </row>
    <row r="29" spans="1:12" ht="39">
      <c r="A29" s="25">
        <v>26</v>
      </c>
      <c r="B29" s="20" t="s">
        <v>347</v>
      </c>
      <c r="C29" s="28" t="s">
        <v>348</v>
      </c>
      <c r="D29" s="20" t="s">
        <v>349</v>
      </c>
      <c r="E29" s="20" t="s">
        <v>350</v>
      </c>
      <c r="F29" s="20" t="s">
        <v>204</v>
      </c>
      <c r="G29" s="20" t="s">
        <v>81</v>
      </c>
      <c r="H29" s="20" t="s">
        <v>351</v>
      </c>
      <c r="I29" s="20" t="s">
        <v>352</v>
      </c>
      <c r="J29" s="28">
        <v>90</v>
      </c>
      <c r="K29" s="20" t="s">
        <v>353</v>
      </c>
      <c r="L29" s="21" t="s">
        <v>215</v>
      </c>
    </row>
    <row r="30" spans="1:12" ht="26">
      <c r="A30" s="25">
        <v>27</v>
      </c>
      <c r="B30" s="20" t="s">
        <v>360</v>
      </c>
      <c r="C30" s="28" t="s">
        <v>361</v>
      </c>
      <c r="D30" s="20" t="s">
        <v>362</v>
      </c>
      <c r="E30" s="20" t="s">
        <v>363</v>
      </c>
      <c r="F30" s="20" t="s">
        <v>204</v>
      </c>
      <c r="G30" s="20" t="s">
        <v>40</v>
      </c>
      <c r="H30" s="20" t="s">
        <v>364</v>
      </c>
      <c r="I30" s="20" t="s">
        <v>365</v>
      </c>
      <c r="J30" s="28">
        <v>90</v>
      </c>
      <c r="K30" s="20" t="s">
        <v>366</v>
      </c>
      <c r="L30" s="21" t="s">
        <v>215</v>
      </c>
    </row>
    <row r="31" spans="1:12" ht="26">
      <c r="A31" s="25">
        <v>28</v>
      </c>
      <c r="B31" s="20" t="s">
        <v>373</v>
      </c>
      <c r="C31" s="28" t="s">
        <v>218</v>
      </c>
      <c r="D31" s="20" t="s">
        <v>374</v>
      </c>
      <c r="E31" s="20" t="s">
        <v>375</v>
      </c>
      <c r="F31" s="20" t="s">
        <v>204</v>
      </c>
      <c r="G31" s="20" t="s">
        <v>69</v>
      </c>
      <c r="H31" s="20" t="s">
        <v>376</v>
      </c>
      <c r="I31" s="20" t="s">
        <v>377</v>
      </c>
      <c r="J31" s="28">
        <v>90</v>
      </c>
      <c r="K31" s="20" t="s">
        <v>378</v>
      </c>
      <c r="L31" s="21" t="s">
        <v>215</v>
      </c>
    </row>
    <row r="32" spans="1:12" ht="26">
      <c r="A32" s="25">
        <v>29</v>
      </c>
      <c r="B32" s="20" t="s">
        <v>385</v>
      </c>
      <c r="C32" s="28" t="s">
        <v>322</v>
      </c>
      <c r="D32" s="20" t="s">
        <v>323</v>
      </c>
      <c r="E32" s="20" t="s">
        <v>386</v>
      </c>
      <c r="F32" s="20" t="s">
        <v>204</v>
      </c>
      <c r="G32" s="20" t="s">
        <v>69</v>
      </c>
      <c r="H32" s="20" t="s">
        <v>387</v>
      </c>
      <c r="I32" s="20" t="s">
        <v>388</v>
      </c>
      <c r="J32" s="28">
        <v>90</v>
      </c>
      <c r="K32" s="20" t="s">
        <v>389</v>
      </c>
      <c r="L32" s="21" t="s">
        <v>215</v>
      </c>
    </row>
    <row r="33" spans="1:12" ht="26">
      <c r="A33" s="25">
        <v>30</v>
      </c>
      <c r="B33" s="20" t="s">
        <v>397</v>
      </c>
      <c r="C33" s="28" t="s">
        <v>162</v>
      </c>
      <c r="D33" s="20" t="s">
        <v>398</v>
      </c>
      <c r="E33" s="20" t="s">
        <v>399</v>
      </c>
      <c r="F33" s="20" t="s">
        <v>204</v>
      </c>
      <c r="G33" s="20" t="s">
        <v>69</v>
      </c>
      <c r="H33" s="20" t="s">
        <v>400</v>
      </c>
      <c r="I33" s="20" t="s">
        <v>401</v>
      </c>
      <c r="J33" s="28">
        <v>90</v>
      </c>
      <c r="K33" s="20" t="s">
        <v>402</v>
      </c>
      <c r="L33" s="21" t="s">
        <v>215</v>
      </c>
    </row>
    <row r="34" spans="1:12" ht="26">
      <c r="A34" s="25">
        <v>31</v>
      </c>
      <c r="B34" s="20" t="s">
        <v>407</v>
      </c>
      <c r="C34" s="28" t="s">
        <v>408</v>
      </c>
      <c r="D34" s="20" t="s">
        <v>409</v>
      </c>
      <c r="E34" s="20" t="s">
        <v>410</v>
      </c>
      <c r="F34" s="20" t="s">
        <v>204</v>
      </c>
      <c r="G34" s="20" t="s">
        <v>40</v>
      </c>
      <c r="H34" s="20" t="s">
        <v>411</v>
      </c>
      <c r="I34" s="20" t="s">
        <v>412</v>
      </c>
      <c r="J34" s="28">
        <v>90</v>
      </c>
      <c r="K34" s="20" t="s">
        <v>413</v>
      </c>
      <c r="L34" s="21" t="s">
        <v>215</v>
      </c>
    </row>
    <row r="35" spans="1:12" ht="26">
      <c r="A35" s="25">
        <v>32</v>
      </c>
      <c r="B35" s="20" t="s">
        <v>419</v>
      </c>
      <c r="C35" s="28" t="s">
        <v>420</v>
      </c>
      <c r="D35" s="20" t="s">
        <v>421</v>
      </c>
      <c r="E35" s="20" t="s">
        <v>422</v>
      </c>
      <c r="F35" s="20" t="s">
        <v>204</v>
      </c>
      <c r="G35" s="20" t="s">
        <v>40</v>
      </c>
      <c r="H35" s="20" t="s">
        <v>423</v>
      </c>
      <c r="I35" s="20" t="s">
        <v>424</v>
      </c>
      <c r="J35" s="28">
        <v>90</v>
      </c>
      <c r="K35" s="20" t="s">
        <v>425</v>
      </c>
      <c r="L35" s="21" t="s">
        <v>215</v>
      </c>
    </row>
    <row r="36" spans="1:12" ht="39">
      <c r="A36" s="25">
        <v>33</v>
      </c>
      <c r="B36" s="20" t="s">
        <v>434</v>
      </c>
      <c r="C36" s="28" t="s">
        <v>348</v>
      </c>
      <c r="D36" s="20" t="s">
        <v>349</v>
      </c>
      <c r="E36" s="20" t="s">
        <v>435</v>
      </c>
      <c r="F36" s="20" t="s">
        <v>204</v>
      </c>
      <c r="G36" s="20" t="s">
        <v>69</v>
      </c>
      <c r="H36" s="20" t="s">
        <v>436</v>
      </c>
      <c r="I36" s="20" t="s">
        <v>437</v>
      </c>
      <c r="J36" s="28">
        <v>90</v>
      </c>
      <c r="K36" s="20" t="s">
        <v>353</v>
      </c>
      <c r="L36" s="21" t="s">
        <v>215</v>
      </c>
    </row>
    <row r="37" spans="1:12" ht="26">
      <c r="A37" s="25">
        <v>34</v>
      </c>
      <c r="B37" s="20" t="s">
        <v>442</v>
      </c>
      <c r="C37" s="28" t="s">
        <v>103</v>
      </c>
      <c r="D37" s="20" t="s">
        <v>443</v>
      </c>
      <c r="E37" s="20" t="s">
        <v>444</v>
      </c>
      <c r="F37" s="20" t="s">
        <v>204</v>
      </c>
      <c r="G37" s="20" t="s">
        <v>69</v>
      </c>
      <c r="H37" s="20" t="s">
        <v>445</v>
      </c>
      <c r="I37" s="20" t="s">
        <v>446</v>
      </c>
      <c r="J37" s="28">
        <v>90</v>
      </c>
      <c r="K37" s="20" t="s">
        <v>447</v>
      </c>
      <c r="L37" s="21" t="s">
        <v>215</v>
      </c>
    </row>
    <row r="38" spans="1:12" ht="26">
      <c r="A38" s="25">
        <v>35</v>
      </c>
      <c r="B38" s="20" t="s">
        <v>454</v>
      </c>
      <c r="C38" s="28" t="s">
        <v>322</v>
      </c>
      <c r="D38" s="20" t="s">
        <v>323</v>
      </c>
      <c r="E38" s="20" t="s">
        <v>455</v>
      </c>
      <c r="F38" s="20" t="s">
        <v>204</v>
      </c>
      <c r="G38" s="20" t="s">
        <v>138</v>
      </c>
      <c r="H38" s="20" t="s">
        <v>456</v>
      </c>
      <c r="I38" s="20" t="s">
        <v>457</v>
      </c>
      <c r="J38" s="28">
        <v>90</v>
      </c>
      <c r="K38" s="20" t="s">
        <v>389</v>
      </c>
      <c r="L38" s="21" t="s">
        <v>215</v>
      </c>
    </row>
    <row r="39" spans="1:12" ht="26">
      <c r="A39" s="25">
        <v>36</v>
      </c>
      <c r="B39" s="20" t="s">
        <v>461</v>
      </c>
      <c r="C39" s="28" t="s">
        <v>322</v>
      </c>
      <c r="D39" s="20" t="s">
        <v>323</v>
      </c>
      <c r="E39" s="20" t="s">
        <v>462</v>
      </c>
      <c r="F39" s="20" t="s">
        <v>204</v>
      </c>
      <c r="G39" s="20" t="s">
        <v>40</v>
      </c>
      <c r="H39" s="20" t="s">
        <v>463</v>
      </c>
      <c r="I39" s="20" t="s">
        <v>189</v>
      </c>
      <c r="J39" s="28">
        <v>90</v>
      </c>
      <c r="K39" s="20" t="s">
        <v>464</v>
      </c>
      <c r="L39" s="21" t="s">
        <v>215</v>
      </c>
    </row>
    <row r="40" spans="1:12">
      <c r="A40" s="25">
        <v>37</v>
      </c>
      <c r="B40" s="20" t="s">
        <v>472</v>
      </c>
      <c r="C40" s="28" t="s">
        <v>473</v>
      </c>
      <c r="D40" s="20" t="s">
        <v>474</v>
      </c>
      <c r="E40" s="20" t="s">
        <v>475</v>
      </c>
      <c r="F40" s="20" t="s">
        <v>204</v>
      </c>
      <c r="G40" s="20" t="s">
        <v>69</v>
      </c>
      <c r="H40" s="20" t="s">
        <v>476</v>
      </c>
      <c r="I40" s="20" t="s">
        <v>477</v>
      </c>
      <c r="J40" s="28">
        <v>90</v>
      </c>
      <c r="K40" s="20" t="s">
        <v>478</v>
      </c>
      <c r="L40" s="21" t="s">
        <v>215</v>
      </c>
    </row>
    <row r="41" spans="1:12" ht="39">
      <c r="A41" s="25">
        <v>38</v>
      </c>
      <c r="B41" s="20" t="s">
        <v>484</v>
      </c>
      <c r="C41" s="28" t="s">
        <v>420</v>
      </c>
      <c r="D41" s="20" t="s">
        <v>421</v>
      </c>
      <c r="E41" s="20" t="s">
        <v>485</v>
      </c>
      <c r="F41" s="20" t="s">
        <v>204</v>
      </c>
      <c r="G41" s="20" t="s">
        <v>40</v>
      </c>
      <c r="H41" s="20" t="s">
        <v>486</v>
      </c>
      <c r="I41" s="20" t="s">
        <v>487</v>
      </c>
      <c r="J41" s="28">
        <v>90</v>
      </c>
      <c r="K41" s="20" t="s">
        <v>488</v>
      </c>
      <c r="L41" s="21" t="s">
        <v>215</v>
      </c>
    </row>
    <row r="42" spans="1:12" ht="26">
      <c r="A42" s="25">
        <v>39</v>
      </c>
      <c r="B42" s="20" t="s">
        <v>494</v>
      </c>
      <c r="C42" s="28" t="s">
        <v>36</v>
      </c>
      <c r="D42" s="20" t="s">
        <v>93</v>
      </c>
      <c r="E42" s="20" t="s">
        <v>495</v>
      </c>
      <c r="F42" s="20" t="s">
        <v>204</v>
      </c>
      <c r="G42" s="20" t="s">
        <v>138</v>
      </c>
      <c r="H42" s="20" t="s">
        <v>496</v>
      </c>
      <c r="I42" s="20" t="s">
        <v>412</v>
      </c>
      <c r="J42" s="28">
        <v>90</v>
      </c>
      <c r="K42" s="20" t="s">
        <v>497</v>
      </c>
      <c r="L42" s="21" t="s">
        <v>215</v>
      </c>
    </row>
    <row r="43" spans="1:12" ht="26">
      <c r="A43" s="25">
        <v>40</v>
      </c>
      <c r="B43" s="20" t="s">
        <v>503</v>
      </c>
      <c r="C43" s="28" t="s">
        <v>36</v>
      </c>
      <c r="D43" s="20" t="s">
        <v>504</v>
      </c>
      <c r="E43" s="20" t="s">
        <v>505</v>
      </c>
      <c r="F43" s="20" t="s">
        <v>204</v>
      </c>
      <c r="G43" s="20" t="s">
        <v>69</v>
      </c>
      <c r="H43" s="20" t="s">
        <v>506</v>
      </c>
      <c r="I43" s="20" t="s">
        <v>507</v>
      </c>
      <c r="J43" s="28">
        <v>90</v>
      </c>
      <c r="K43" s="20" t="s">
        <v>508</v>
      </c>
      <c r="L43" s="21" t="s">
        <v>516</v>
      </c>
    </row>
    <row r="44" spans="1:12" ht="26">
      <c r="A44" s="25">
        <v>41</v>
      </c>
      <c r="B44" s="20" t="s">
        <v>518</v>
      </c>
      <c r="C44" s="28" t="s">
        <v>148</v>
      </c>
      <c r="D44" s="20" t="s">
        <v>149</v>
      </c>
      <c r="E44" s="20" t="s">
        <v>519</v>
      </c>
      <c r="F44" s="20" t="s">
        <v>204</v>
      </c>
      <c r="G44" s="20" t="s">
        <v>40</v>
      </c>
      <c r="H44" s="20" t="s">
        <v>520</v>
      </c>
      <c r="I44" s="20" t="s">
        <v>412</v>
      </c>
      <c r="J44" s="28">
        <v>90</v>
      </c>
      <c r="K44" s="20" t="s">
        <v>521</v>
      </c>
      <c r="L44" s="21" t="s">
        <v>215</v>
      </c>
    </row>
    <row r="45" spans="1:12">
      <c r="A45" s="25">
        <v>42</v>
      </c>
      <c r="B45" s="20" t="s">
        <v>530</v>
      </c>
      <c r="C45" s="28" t="s">
        <v>36</v>
      </c>
      <c r="D45" s="20" t="s">
        <v>56</v>
      </c>
      <c r="E45" s="20" t="s">
        <v>531</v>
      </c>
      <c r="F45" s="20" t="s">
        <v>204</v>
      </c>
      <c r="G45" s="20" t="s">
        <v>40</v>
      </c>
      <c r="H45" s="20" t="s">
        <v>532</v>
      </c>
      <c r="I45" s="20" t="s">
        <v>189</v>
      </c>
      <c r="J45" s="28">
        <v>90</v>
      </c>
      <c r="K45" s="20" t="s">
        <v>533</v>
      </c>
      <c r="L45" s="21" t="s">
        <v>215</v>
      </c>
    </row>
    <row r="46" spans="1:12" ht="26">
      <c r="A46" s="25">
        <v>43</v>
      </c>
      <c r="B46" s="20" t="s">
        <v>539</v>
      </c>
      <c r="C46" s="28" t="s">
        <v>540</v>
      </c>
      <c r="D46" s="20" t="s">
        <v>541</v>
      </c>
      <c r="E46" s="20" t="s">
        <v>542</v>
      </c>
      <c r="F46" s="20" t="s">
        <v>204</v>
      </c>
      <c r="G46" s="20" t="s">
        <v>69</v>
      </c>
      <c r="H46" s="20" t="s">
        <v>543</v>
      </c>
      <c r="I46" s="20" t="s">
        <v>544</v>
      </c>
      <c r="J46" s="28">
        <v>90</v>
      </c>
      <c r="K46" s="20" t="s">
        <v>545</v>
      </c>
      <c r="L46" s="21" t="s">
        <v>215</v>
      </c>
    </row>
    <row r="47" spans="1:12" ht="26">
      <c r="A47" s="25">
        <v>44</v>
      </c>
      <c r="B47" s="20" t="s">
        <v>551</v>
      </c>
      <c r="C47" s="28" t="s">
        <v>348</v>
      </c>
      <c r="D47" s="20" t="s">
        <v>552</v>
      </c>
      <c r="E47" s="20" t="s">
        <v>553</v>
      </c>
      <c r="F47" s="20" t="s">
        <v>204</v>
      </c>
      <c r="G47" s="20" t="s">
        <v>40</v>
      </c>
      <c r="H47" s="20" t="s">
        <v>554</v>
      </c>
      <c r="I47" s="20" t="s">
        <v>555</v>
      </c>
      <c r="J47" s="28">
        <v>90</v>
      </c>
      <c r="K47" s="20" t="s">
        <v>556</v>
      </c>
      <c r="L47" s="21" t="s">
        <v>215</v>
      </c>
    </row>
    <row r="48" spans="1:12" ht="26">
      <c r="A48" s="25">
        <v>45</v>
      </c>
      <c r="B48" s="20" t="s">
        <v>563</v>
      </c>
      <c r="C48" s="28" t="s">
        <v>218</v>
      </c>
      <c r="D48" s="20" t="s">
        <v>374</v>
      </c>
      <c r="E48" s="20" t="s">
        <v>564</v>
      </c>
      <c r="F48" s="20" t="s">
        <v>204</v>
      </c>
      <c r="G48" s="20" t="s">
        <v>138</v>
      </c>
      <c r="H48" s="20" t="s">
        <v>565</v>
      </c>
      <c r="I48" s="20" t="s">
        <v>566</v>
      </c>
      <c r="J48" s="28">
        <v>90</v>
      </c>
      <c r="K48" s="20" t="s">
        <v>567</v>
      </c>
      <c r="L48" s="21" t="s">
        <v>215</v>
      </c>
    </row>
    <row r="49" spans="1:12" ht="26">
      <c r="A49" s="25">
        <v>46</v>
      </c>
      <c r="B49" s="20" t="s">
        <v>574</v>
      </c>
      <c r="C49" s="28" t="s">
        <v>259</v>
      </c>
      <c r="D49" s="20" t="s">
        <v>575</v>
      </c>
      <c r="E49" s="20" t="s">
        <v>576</v>
      </c>
      <c r="F49" s="20" t="s">
        <v>204</v>
      </c>
      <c r="G49" s="20" t="s">
        <v>69</v>
      </c>
      <c r="H49" s="20" t="s">
        <v>577</v>
      </c>
      <c r="I49" s="20" t="s">
        <v>578</v>
      </c>
      <c r="J49" s="28">
        <v>90</v>
      </c>
      <c r="K49" s="20" t="s">
        <v>579</v>
      </c>
      <c r="L49" s="21" t="s">
        <v>215</v>
      </c>
    </row>
    <row r="50" spans="1:12" ht="26">
      <c r="A50" s="25">
        <v>47</v>
      </c>
      <c r="B50" s="20" t="s">
        <v>586</v>
      </c>
      <c r="C50" s="28" t="s">
        <v>162</v>
      </c>
      <c r="D50" s="20" t="s">
        <v>202</v>
      </c>
      <c r="E50" s="20" t="s">
        <v>587</v>
      </c>
      <c r="F50" s="20" t="s">
        <v>204</v>
      </c>
      <c r="G50" s="20" t="s">
        <v>69</v>
      </c>
      <c r="H50" s="20" t="s">
        <v>588</v>
      </c>
      <c r="I50" s="20" t="s">
        <v>589</v>
      </c>
      <c r="J50" s="28">
        <v>90</v>
      </c>
      <c r="K50" s="20" t="s">
        <v>590</v>
      </c>
      <c r="L50" s="21" t="s">
        <v>215</v>
      </c>
    </row>
    <row r="51" spans="1:12" ht="26">
      <c r="A51" s="25">
        <v>48</v>
      </c>
      <c r="B51" s="20" t="s">
        <v>597</v>
      </c>
      <c r="C51" s="28" t="s">
        <v>259</v>
      </c>
      <c r="D51" s="20" t="s">
        <v>260</v>
      </c>
      <c r="E51" s="20" t="s">
        <v>598</v>
      </c>
      <c r="F51" s="20" t="s">
        <v>204</v>
      </c>
      <c r="G51" s="20" t="s">
        <v>69</v>
      </c>
      <c r="H51" s="20" t="s">
        <v>599</v>
      </c>
      <c r="I51" s="20" t="s">
        <v>600</v>
      </c>
      <c r="J51" s="28">
        <v>90</v>
      </c>
      <c r="K51" s="20" t="s">
        <v>601</v>
      </c>
      <c r="L51" s="21" t="s">
        <v>215</v>
      </c>
    </row>
    <row r="52" spans="1:12" ht="26">
      <c r="A52" s="25">
        <v>49</v>
      </c>
      <c r="B52" s="20" t="s">
        <v>609</v>
      </c>
      <c r="C52" s="28" t="s">
        <v>348</v>
      </c>
      <c r="D52" s="20" t="s">
        <v>610</v>
      </c>
      <c r="E52" s="20" t="s">
        <v>611</v>
      </c>
      <c r="F52" s="20" t="s">
        <v>204</v>
      </c>
      <c r="G52" s="20" t="s">
        <v>69</v>
      </c>
      <c r="H52" s="20" t="s">
        <v>612</v>
      </c>
      <c r="I52" s="20" t="s">
        <v>613</v>
      </c>
      <c r="J52" s="28">
        <v>90</v>
      </c>
      <c r="K52" s="20" t="s">
        <v>614</v>
      </c>
      <c r="L52" s="21" t="s">
        <v>215</v>
      </c>
    </row>
    <row r="53" spans="1:12" ht="26">
      <c r="A53" s="25">
        <v>50</v>
      </c>
      <c r="B53" s="20" t="s">
        <v>620</v>
      </c>
      <c r="C53" s="28" t="s">
        <v>348</v>
      </c>
      <c r="D53" s="20" t="s">
        <v>552</v>
      </c>
      <c r="E53" s="20" t="s">
        <v>621</v>
      </c>
      <c r="F53" s="20" t="s">
        <v>204</v>
      </c>
      <c r="G53" s="20" t="s">
        <v>69</v>
      </c>
      <c r="H53" s="20" t="s">
        <v>622</v>
      </c>
      <c r="I53" s="20" t="s">
        <v>623</v>
      </c>
      <c r="J53" s="28">
        <v>90</v>
      </c>
      <c r="K53" s="20" t="s">
        <v>624</v>
      </c>
      <c r="L53" s="21" t="s">
        <v>215</v>
      </c>
    </row>
    <row r="54" spans="1:12" ht="26">
      <c r="A54" s="26">
        <v>51</v>
      </c>
      <c r="B54" s="22" t="s">
        <v>632</v>
      </c>
      <c r="C54" s="29" t="s">
        <v>285</v>
      </c>
      <c r="D54" s="22" t="s">
        <v>286</v>
      </c>
      <c r="E54" s="22" t="s">
        <v>633</v>
      </c>
      <c r="F54" s="22" t="s">
        <v>204</v>
      </c>
      <c r="G54" s="22" t="s">
        <v>69</v>
      </c>
      <c r="H54" s="22" t="s">
        <v>634</v>
      </c>
      <c r="I54" s="22" t="s">
        <v>635</v>
      </c>
      <c r="J54" s="29">
        <v>90</v>
      </c>
      <c r="K54" s="22" t="s">
        <v>636</v>
      </c>
      <c r="L54" s="23" t="s">
        <v>215</v>
      </c>
    </row>
  </sheetData>
  <mergeCells count="2">
    <mergeCell ref="A1:L1"/>
    <mergeCell ref="A2:L2"/>
  </mergeCells>
  <conditionalFormatting sqref="J5:J54">
    <cfRule type="colorScale" priority="1">
      <colorScale>
        <cfvo type="min"/>
        <cfvo type="percentile" val="50"/>
        <cfvo type="max"/>
        <color rgb="FFFEF3C7"/>
        <color rgb="FFDBEAFE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workbookViewId="0"/>
  </sheetViews>
  <sheetFormatPr baseColWidth="10" defaultColWidth="8.83203125" defaultRowHeight="15"/>
  <cols>
    <col min="1" max="1" width="8" customWidth="1"/>
    <col min="2" max="2" width="22" customWidth="1"/>
    <col min="3" max="3" width="13" customWidth="1"/>
    <col min="4" max="4" width="32" customWidth="1"/>
    <col min="5" max="5" width="30" customWidth="1"/>
    <col min="6" max="6" width="38" customWidth="1"/>
    <col min="7" max="7" width="30" customWidth="1"/>
    <col min="8" max="8" width="11" customWidth="1"/>
    <col min="9" max="9" width="50" customWidth="1"/>
    <col min="10" max="10" width="38" customWidth="1"/>
    <col min="11" max="11" width="46" customWidth="1"/>
  </cols>
  <sheetData>
    <row r="1" spans="1:11" ht="32" customHeight="1">
      <c r="A1" s="54" t="s">
        <v>1214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30" customHeight="1">
      <c r="A2" s="56" t="s">
        <v>1215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4" spans="1:11" ht="34" customHeight="1">
      <c r="A4" s="1" t="s">
        <v>1213</v>
      </c>
      <c r="B4" s="1" t="s">
        <v>4</v>
      </c>
      <c r="C4" s="1" t="s">
        <v>5</v>
      </c>
      <c r="D4" s="1" t="s">
        <v>6</v>
      </c>
      <c r="E4" s="1" t="s">
        <v>10</v>
      </c>
      <c r="F4" s="1" t="s">
        <v>13</v>
      </c>
      <c r="G4" s="1" t="s">
        <v>1216</v>
      </c>
      <c r="H4" s="1" t="s">
        <v>21</v>
      </c>
      <c r="I4" s="1" t="s">
        <v>22</v>
      </c>
      <c r="J4" s="1" t="s">
        <v>1217</v>
      </c>
      <c r="K4" s="1" t="s">
        <v>1218</v>
      </c>
    </row>
    <row r="5" spans="1:11" ht="39">
      <c r="A5" s="24">
        <v>2</v>
      </c>
      <c r="B5" s="18" t="s">
        <v>55</v>
      </c>
      <c r="C5" s="27" t="s">
        <v>36</v>
      </c>
      <c r="D5" s="18" t="s">
        <v>56</v>
      </c>
      <c r="E5" s="18" t="s">
        <v>58</v>
      </c>
      <c r="F5" s="18" t="s">
        <v>59</v>
      </c>
      <c r="G5" s="18" t="s">
        <v>60</v>
      </c>
      <c r="H5" s="27">
        <v>100</v>
      </c>
      <c r="I5" s="18" t="s">
        <v>61</v>
      </c>
      <c r="J5" s="18" t="s">
        <v>50</v>
      </c>
      <c r="K5" s="19" t="s">
        <v>53</v>
      </c>
    </row>
    <row r="6" spans="1:11" ht="39">
      <c r="A6" s="25">
        <v>3</v>
      </c>
      <c r="B6" s="20" t="s">
        <v>68</v>
      </c>
      <c r="C6" s="28" t="s">
        <v>36</v>
      </c>
      <c r="D6" s="20" t="s">
        <v>56</v>
      </c>
      <c r="E6" s="20" t="s">
        <v>70</v>
      </c>
      <c r="F6" s="20" t="s">
        <v>71</v>
      </c>
      <c r="G6" s="20" t="s">
        <v>72</v>
      </c>
      <c r="H6" s="28">
        <v>100</v>
      </c>
      <c r="I6" s="20" t="s">
        <v>73</v>
      </c>
      <c r="J6" s="20" t="s">
        <v>50</v>
      </c>
      <c r="K6" s="21" t="s">
        <v>53</v>
      </c>
    </row>
    <row r="7" spans="1:11" ht="26">
      <c r="A7" s="25">
        <v>6</v>
      </c>
      <c r="B7" s="20" t="s">
        <v>102</v>
      </c>
      <c r="C7" s="28" t="s">
        <v>103</v>
      </c>
      <c r="D7" s="20" t="s">
        <v>104</v>
      </c>
      <c r="E7" s="20" t="s">
        <v>105</v>
      </c>
      <c r="F7" s="20" t="s">
        <v>106</v>
      </c>
      <c r="G7" s="20" t="s">
        <v>107</v>
      </c>
      <c r="H7" s="28">
        <v>100</v>
      </c>
      <c r="I7" s="20" t="s">
        <v>108</v>
      </c>
      <c r="J7" s="20" t="s">
        <v>112</v>
      </c>
      <c r="K7" s="21" t="s">
        <v>53</v>
      </c>
    </row>
    <row r="8" spans="1:11" ht="39">
      <c r="A8" s="25">
        <v>13</v>
      </c>
      <c r="B8" s="20" t="s">
        <v>186</v>
      </c>
      <c r="C8" s="28" t="s">
        <v>36</v>
      </c>
      <c r="D8" s="20" t="s">
        <v>56</v>
      </c>
      <c r="E8" s="20" t="s">
        <v>187</v>
      </c>
      <c r="F8" s="20" t="s">
        <v>188</v>
      </c>
      <c r="G8" s="20" t="s">
        <v>189</v>
      </c>
      <c r="H8" s="28">
        <v>100</v>
      </c>
      <c r="I8" s="20" t="s">
        <v>190</v>
      </c>
      <c r="J8" s="20" t="s">
        <v>50</v>
      </c>
      <c r="K8" s="21" t="s">
        <v>53</v>
      </c>
    </row>
    <row r="9" spans="1:11" ht="26">
      <c r="A9" s="25">
        <v>15</v>
      </c>
      <c r="B9" s="20" t="s">
        <v>201</v>
      </c>
      <c r="C9" s="28" t="s">
        <v>162</v>
      </c>
      <c r="D9" s="20" t="s">
        <v>202</v>
      </c>
      <c r="E9" s="20" t="s">
        <v>203</v>
      </c>
      <c r="F9" s="20" t="s">
        <v>205</v>
      </c>
      <c r="G9" s="20" t="s">
        <v>206</v>
      </c>
      <c r="H9" s="28">
        <v>95</v>
      </c>
      <c r="I9" s="20" t="s">
        <v>207</v>
      </c>
      <c r="J9" s="20" t="s">
        <v>212</v>
      </c>
      <c r="K9" s="21" t="s">
        <v>215</v>
      </c>
    </row>
    <row r="10" spans="1:11" ht="26">
      <c r="A10" s="25">
        <v>16</v>
      </c>
      <c r="B10" s="20" t="s">
        <v>217</v>
      </c>
      <c r="C10" s="28" t="s">
        <v>218</v>
      </c>
      <c r="D10" s="20" t="s">
        <v>219</v>
      </c>
      <c r="E10" s="20" t="s">
        <v>220</v>
      </c>
      <c r="F10" s="20" t="s">
        <v>221</v>
      </c>
      <c r="G10" s="20" t="s">
        <v>119</v>
      </c>
      <c r="H10" s="28">
        <v>95</v>
      </c>
      <c r="I10" s="20" t="s">
        <v>222</v>
      </c>
      <c r="J10" s="20" t="s">
        <v>227</v>
      </c>
      <c r="K10" s="21" t="s">
        <v>215</v>
      </c>
    </row>
    <row r="11" spans="1:11" ht="26">
      <c r="A11" s="25">
        <v>17</v>
      </c>
      <c r="B11" s="20" t="s">
        <v>231</v>
      </c>
      <c r="C11" s="28" t="s">
        <v>218</v>
      </c>
      <c r="D11" s="20" t="s">
        <v>219</v>
      </c>
      <c r="E11" s="20" t="s">
        <v>233</v>
      </c>
      <c r="F11" s="20" t="s">
        <v>235</v>
      </c>
      <c r="G11" s="20" t="s">
        <v>236</v>
      </c>
      <c r="H11" s="28">
        <v>95</v>
      </c>
      <c r="I11" s="20" t="s">
        <v>237</v>
      </c>
      <c r="J11" s="20" t="s">
        <v>242</v>
      </c>
      <c r="K11" s="21" t="s">
        <v>245</v>
      </c>
    </row>
    <row r="12" spans="1:11" ht="39">
      <c r="A12" s="25">
        <v>18</v>
      </c>
      <c r="B12" s="20" t="s">
        <v>247</v>
      </c>
      <c r="C12" s="28" t="s">
        <v>36</v>
      </c>
      <c r="D12" s="20" t="s">
        <v>56</v>
      </c>
      <c r="E12" s="20" t="s">
        <v>248</v>
      </c>
      <c r="F12" s="20" t="s">
        <v>249</v>
      </c>
      <c r="G12" s="20" t="s">
        <v>250</v>
      </c>
      <c r="H12" s="28">
        <v>91</v>
      </c>
      <c r="I12" s="20" t="s">
        <v>252</v>
      </c>
      <c r="J12" s="20" t="s">
        <v>50</v>
      </c>
      <c r="K12" s="21" t="s">
        <v>256</v>
      </c>
    </row>
    <row r="13" spans="1:11" ht="39">
      <c r="A13" s="26">
        <v>75</v>
      </c>
      <c r="B13" s="22" t="s">
        <v>904</v>
      </c>
      <c r="C13" s="29" t="s">
        <v>218</v>
      </c>
      <c r="D13" s="22" t="s">
        <v>374</v>
      </c>
      <c r="E13" s="22" t="s">
        <v>905</v>
      </c>
      <c r="F13" s="22" t="s">
        <v>906</v>
      </c>
      <c r="G13" s="22" t="s">
        <v>907</v>
      </c>
      <c r="H13" s="29">
        <v>81</v>
      </c>
      <c r="I13" s="22" t="s">
        <v>908</v>
      </c>
      <c r="J13" s="22" t="s">
        <v>381</v>
      </c>
      <c r="K13" s="23" t="s">
        <v>215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workbookViewId="0"/>
  </sheetViews>
  <sheetFormatPr baseColWidth="10" defaultColWidth="8.83203125" defaultRowHeight="15"/>
  <cols>
    <col min="1" max="1" width="30" customWidth="1"/>
    <col min="2" max="2" width="14" customWidth="1"/>
    <col min="3" max="3" width="4" customWidth="1"/>
    <col min="4" max="4" width="20" customWidth="1"/>
    <col min="5" max="6" width="12" customWidth="1"/>
    <col min="7" max="7" width="4" customWidth="1"/>
    <col min="8" max="8" width="24" customWidth="1"/>
    <col min="9" max="9" width="12" customWidth="1"/>
  </cols>
  <sheetData>
    <row r="1" spans="1:9" ht="32" customHeight="1">
      <c r="A1" s="54" t="s">
        <v>1219</v>
      </c>
      <c r="B1" s="55"/>
      <c r="C1" s="55"/>
      <c r="D1" s="55"/>
      <c r="E1" s="55"/>
      <c r="F1" s="55"/>
      <c r="G1" s="55"/>
      <c r="H1" s="55"/>
    </row>
    <row r="2" spans="1:9" ht="30" customHeight="1">
      <c r="A2" s="56" t="s">
        <v>1220</v>
      </c>
      <c r="B2" s="55"/>
      <c r="C2" s="55"/>
      <c r="D2" s="55"/>
      <c r="E2" s="55"/>
      <c r="F2" s="55"/>
      <c r="G2" s="55"/>
      <c r="H2" s="55"/>
    </row>
    <row r="4" spans="1:9" ht="34" customHeight="1">
      <c r="A4" s="1" t="s">
        <v>1221</v>
      </c>
      <c r="B4" s="1" t="s">
        <v>1222</v>
      </c>
      <c r="D4" s="1" t="s">
        <v>5</v>
      </c>
      <c r="E4" s="1" t="s">
        <v>1223</v>
      </c>
      <c r="F4" s="1" t="s">
        <v>1224</v>
      </c>
      <c r="H4" s="1" t="s">
        <v>9</v>
      </c>
      <c r="I4" s="1" t="s">
        <v>1223</v>
      </c>
    </row>
    <row r="5" spans="1:9">
      <c r="A5" s="30" t="s">
        <v>1225</v>
      </c>
      <c r="B5" s="33">
        <f>COUNTA(德国候选!$C$5:$C$108)</f>
        <v>104</v>
      </c>
      <c r="D5" s="36" t="s">
        <v>36</v>
      </c>
      <c r="E5" s="37">
        <f>COUNTIF(德国候选!$D$5:$D$108,D5)</f>
        <v>15</v>
      </c>
      <c r="F5" s="38">
        <f t="shared" ref="F5:F32" si="0">E5/$B$5</f>
        <v>0.14423076923076922</v>
      </c>
      <c r="H5" s="36" t="s">
        <v>69</v>
      </c>
      <c r="I5" s="45">
        <f>COUNTIF(德国候选!$H$5:$H$108,H5)</f>
        <v>49</v>
      </c>
    </row>
    <row r="6" spans="1:9">
      <c r="A6" s="31" t="s">
        <v>1226</v>
      </c>
      <c r="B6" s="34">
        <f>COUNTIF(德国候选!$I$5:$I$108,"&lt;&gt;未找到")</f>
        <v>103</v>
      </c>
      <c r="D6" s="39" t="s">
        <v>162</v>
      </c>
      <c r="E6" s="40">
        <f>COUNTIF(德国候选!$D$5:$D$108,D6)</f>
        <v>14</v>
      </c>
      <c r="F6" s="41">
        <f t="shared" si="0"/>
        <v>0.13461538461538461</v>
      </c>
      <c r="H6" s="39" t="s">
        <v>40</v>
      </c>
      <c r="I6" s="46">
        <f>COUNTIF(德国候选!$H$5:$H$108,H6)</f>
        <v>18</v>
      </c>
    </row>
    <row r="7" spans="1:9">
      <c r="A7" s="31" t="s">
        <v>1227</v>
      </c>
      <c r="B7" s="34">
        <f>COUNTIF(德国候选!$Q$5:$Q$108,"&gt;0")</f>
        <v>101</v>
      </c>
      <c r="D7" s="39" t="s">
        <v>348</v>
      </c>
      <c r="E7" s="40">
        <f>COUNTIF(德国候选!$D$5:$D$108,D7)</f>
        <v>12</v>
      </c>
      <c r="F7" s="41">
        <f t="shared" si="0"/>
        <v>0.11538461538461539</v>
      </c>
      <c r="H7" s="39" t="s">
        <v>81</v>
      </c>
      <c r="I7" s="46">
        <f>COUNTIF(德国候选!$H$5:$H$108,H7)</f>
        <v>14</v>
      </c>
    </row>
    <row r="8" spans="1:9">
      <c r="A8" s="31" t="s">
        <v>1228</v>
      </c>
      <c r="B8" s="34">
        <f>COUNTIF(德国候选!$N$5:$N$108,"高")</f>
        <v>74</v>
      </c>
      <c r="D8" s="39" t="s">
        <v>103</v>
      </c>
      <c r="E8" s="40">
        <f>COUNTIF(德国候选!$D$5:$D$108,D8)</f>
        <v>10</v>
      </c>
      <c r="F8" s="41">
        <f t="shared" si="0"/>
        <v>9.6153846153846159E-2</v>
      </c>
      <c r="H8" s="39" t="s">
        <v>176</v>
      </c>
      <c r="I8" s="46">
        <f>COUNTIF(德国候选!$H$5:$H$108,H8)</f>
        <v>14</v>
      </c>
    </row>
    <row r="9" spans="1:9">
      <c r="A9" s="31" t="s">
        <v>57</v>
      </c>
      <c r="B9" s="34">
        <f>COUNTIF(德国候选!$G$5:$G$108,"青年/新组机会")</f>
        <v>9</v>
      </c>
      <c r="D9" s="39" t="s">
        <v>259</v>
      </c>
      <c r="E9" s="40">
        <f>COUNTIF(德国候选!$D$5:$D$108,D9)</f>
        <v>10</v>
      </c>
      <c r="F9" s="41">
        <f t="shared" si="0"/>
        <v>9.6153846153846159E-2</v>
      </c>
      <c r="H9" s="42" t="s">
        <v>138</v>
      </c>
      <c r="I9" s="47">
        <f>COUNTIF(德国候选!$H$5:$H$108,H9)</f>
        <v>9</v>
      </c>
    </row>
    <row r="10" spans="1:9">
      <c r="A10" s="31" t="s">
        <v>1229</v>
      </c>
      <c r="B10" s="34">
        <f>COUNTIF(德国候选!$R$5:$R$108,"=2")</f>
        <v>103</v>
      </c>
      <c r="D10" s="39" t="s">
        <v>218</v>
      </c>
      <c r="E10" s="40">
        <f>COUNTIF(德国候选!$D$5:$D$108,D10)</f>
        <v>7</v>
      </c>
      <c r="F10" s="41">
        <f t="shared" si="0"/>
        <v>6.7307692307692304E-2</v>
      </c>
    </row>
    <row r="11" spans="1:9">
      <c r="A11" s="32" t="s">
        <v>1230</v>
      </c>
      <c r="B11" s="35">
        <v>98</v>
      </c>
      <c r="D11" s="39" t="s">
        <v>322</v>
      </c>
      <c r="E11" s="40">
        <f>COUNTIF(德国候选!$D$5:$D$108,D11)</f>
        <v>4</v>
      </c>
      <c r="F11" s="41">
        <f t="shared" si="0"/>
        <v>3.8461538461538464E-2</v>
      </c>
    </row>
    <row r="12" spans="1:9">
      <c r="D12" s="39" t="s">
        <v>797</v>
      </c>
      <c r="E12" s="40">
        <f>COUNTIF(德国候选!$D$5:$D$108,D12)</f>
        <v>4</v>
      </c>
      <c r="F12" s="41">
        <f t="shared" si="0"/>
        <v>3.8461538461538464E-2</v>
      </c>
    </row>
    <row r="13" spans="1:9">
      <c r="D13" s="39" t="s">
        <v>285</v>
      </c>
      <c r="E13" s="40">
        <f>COUNTIF(德国候选!$D$5:$D$108,D13)</f>
        <v>3</v>
      </c>
      <c r="F13" s="41">
        <f t="shared" si="0"/>
        <v>2.8846153846153848E-2</v>
      </c>
    </row>
    <row r="14" spans="1:9">
      <c r="D14" s="39" t="s">
        <v>420</v>
      </c>
      <c r="E14" s="40">
        <f>COUNTIF(德国候选!$D$5:$D$108,D14)</f>
        <v>3</v>
      </c>
      <c r="F14" s="41">
        <f t="shared" si="0"/>
        <v>2.8846153846153848E-2</v>
      </c>
    </row>
    <row r="15" spans="1:9">
      <c r="D15" s="39" t="s">
        <v>148</v>
      </c>
      <c r="E15" s="40">
        <f>COUNTIF(德国候选!$D$5:$D$108,D15)</f>
        <v>2</v>
      </c>
      <c r="F15" s="41">
        <f t="shared" si="0"/>
        <v>1.9230769230769232E-2</v>
      </c>
    </row>
    <row r="16" spans="1:9">
      <c r="D16" s="39" t="s">
        <v>361</v>
      </c>
      <c r="E16" s="40">
        <f>COUNTIF(德国候选!$D$5:$D$108,D16)</f>
        <v>2</v>
      </c>
      <c r="F16" s="41">
        <f t="shared" si="0"/>
        <v>1.9230769230769232E-2</v>
      </c>
    </row>
    <row r="17" spans="4:6">
      <c r="D17" s="39" t="s">
        <v>473</v>
      </c>
      <c r="E17" s="40">
        <f>COUNTIF(德国候选!$D$5:$D$108,D17)</f>
        <v>2</v>
      </c>
      <c r="F17" s="41">
        <f t="shared" si="0"/>
        <v>1.9230769230769232E-2</v>
      </c>
    </row>
    <row r="18" spans="4:6">
      <c r="D18" s="39" t="s">
        <v>784</v>
      </c>
      <c r="E18" s="40">
        <f>COUNTIF(德国候选!$D$5:$D$108,D18)</f>
        <v>2</v>
      </c>
      <c r="F18" s="41">
        <f t="shared" si="0"/>
        <v>1.9230769230769232E-2</v>
      </c>
    </row>
    <row r="19" spans="4:6">
      <c r="D19" s="39" t="s">
        <v>272</v>
      </c>
      <c r="E19" s="40">
        <f>COUNTIF(德国候选!$D$5:$D$108,D19)</f>
        <v>1</v>
      </c>
      <c r="F19" s="41">
        <f t="shared" si="0"/>
        <v>9.6153846153846159E-3</v>
      </c>
    </row>
    <row r="20" spans="4:6">
      <c r="D20" s="39" t="s">
        <v>298</v>
      </c>
      <c r="E20" s="40">
        <f>COUNTIF(德国候选!$D$5:$D$108,D20)</f>
        <v>1</v>
      </c>
      <c r="F20" s="41">
        <f t="shared" si="0"/>
        <v>9.6153846153846159E-3</v>
      </c>
    </row>
    <row r="21" spans="4:6">
      <c r="D21" s="39" t="s">
        <v>335</v>
      </c>
      <c r="E21" s="40">
        <f>COUNTIF(德国候选!$D$5:$D$108,D21)</f>
        <v>1</v>
      </c>
      <c r="F21" s="41">
        <f t="shared" si="0"/>
        <v>9.6153846153846159E-3</v>
      </c>
    </row>
    <row r="22" spans="4:6">
      <c r="D22" s="39" t="s">
        <v>408</v>
      </c>
      <c r="E22" s="40">
        <f>COUNTIF(德国候选!$D$5:$D$108,D22)</f>
        <v>1</v>
      </c>
      <c r="F22" s="41">
        <f t="shared" si="0"/>
        <v>9.6153846153846159E-3</v>
      </c>
    </row>
    <row r="23" spans="4:6">
      <c r="D23" s="39" t="s">
        <v>540</v>
      </c>
      <c r="E23" s="40">
        <f>COUNTIF(德国候选!$D$5:$D$108,D23)</f>
        <v>1</v>
      </c>
      <c r="F23" s="41">
        <f t="shared" si="0"/>
        <v>9.6153846153846159E-3</v>
      </c>
    </row>
    <row r="24" spans="4:6">
      <c r="D24" s="39" t="s">
        <v>727</v>
      </c>
      <c r="E24" s="40">
        <f>COUNTIF(德国候选!$D$5:$D$108,D24)</f>
        <v>1</v>
      </c>
      <c r="F24" s="41">
        <f t="shared" si="0"/>
        <v>9.6153846153846159E-3</v>
      </c>
    </row>
    <row r="25" spans="4:6">
      <c r="D25" s="39" t="s">
        <v>739</v>
      </c>
      <c r="E25" s="40">
        <f>COUNTIF(德国候选!$D$5:$D$108,D25)</f>
        <v>1</v>
      </c>
      <c r="F25" s="41">
        <f t="shared" si="0"/>
        <v>9.6153846153846159E-3</v>
      </c>
    </row>
    <row r="26" spans="4:6">
      <c r="D26" s="39" t="s">
        <v>752</v>
      </c>
      <c r="E26" s="40">
        <f>COUNTIF(德国候选!$D$5:$D$108,D26)</f>
        <v>1</v>
      </c>
      <c r="F26" s="41">
        <f t="shared" si="0"/>
        <v>9.6153846153846159E-3</v>
      </c>
    </row>
    <row r="27" spans="4:6">
      <c r="D27" s="39" t="s">
        <v>914</v>
      </c>
      <c r="E27" s="40">
        <f>COUNTIF(德国候选!$D$5:$D$108,D27)</f>
        <v>1</v>
      </c>
      <c r="F27" s="41">
        <f t="shared" si="0"/>
        <v>9.6153846153846159E-3</v>
      </c>
    </row>
    <row r="28" spans="4:6">
      <c r="D28" s="39" t="s">
        <v>955</v>
      </c>
      <c r="E28" s="40">
        <f>COUNTIF(德国候选!$D$5:$D$108,D28)</f>
        <v>1</v>
      </c>
      <c r="F28" s="41">
        <f t="shared" si="0"/>
        <v>9.6153846153846159E-3</v>
      </c>
    </row>
    <row r="29" spans="4:6">
      <c r="D29" s="39" t="s">
        <v>975</v>
      </c>
      <c r="E29" s="40">
        <f>COUNTIF(德国候选!$D$5:$D$108,D29)</f>
        <v>1</v>
      </c>
      <c r="F29" s="41">
        <f t="shared" si="0"/>
        <v>9.6153846153846159E-3</v>
      </c>
    </row>
    <row r="30" spans="4:6">
      <c r="D30" s="39" t="s">
        <v>1123</v>
      </c>
      <c r="E30" s="40">
        <f>COUNTIF(德国候选!$D$5:$D$108,D30)</f>
        <v>1</v>
      </c>
      <c r="F30" s="41">
        <f t="shared" si="0"/>
        <v>9.6153846153846159E-3</v>
      </c>
    </row>
    <row r="31" spans="4:6">
      <c r="D31" s="39" t="s">
        <v>1145</v>
      </c>
      <c r="E31" s="40">
        <f>COUNTIF(德国候选!$D$5:$D$108,D31)</f>
        <v>1</v>
      </c>
      <c r="F31" s="41">
        <f t="shared" si="0"/>
        <v>9.6153846153846159E-3</v>
      </c>
    </row>
    <row r="32" spans="4:6">
      <c r="D32" s="42" t="s">
        <v>1198</v>
      </c>
      <c r="E32" s="43">
        <f>COUNTIF(德国候选!$D$5:$D$108,D32)</f>
        <v>1</v>
      </c>
      <c r="F32" s="44">
        <f t="shared" si="0"/>
        <v>9.6153846153846159E-3</v>
      </c>
    </row>
  </sheetData>
  <mergeCells count="2">
    <mergeCell ref="A1:H1"/>
    <mergeCell ref="A2:H2"/>
  </mergeCells>
  <conditionalFormatting sqref="E5:E32">
    <cfRule type="dataBar" priority="1">
      <dataBar>
        <cfvo type="min"/>
        <cfvo type="max"/>
        <color rgb="FF2563EB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showGridLines="0" workbookViewId="0"/>
  </sheetViews>
  <sheetFormatPr baseColWidth="10" defaultColWidth="8.83203125" defaultRowHeight="15"/>
  <cols>
    <col min="1" max="1" width="22" customWidth="1"/>
    <col min="2" max="2" width="110" customWidth="1"/>
  </cols>
  <sheetData>
    <row r="1" spans="1:2" ht="32" customHeight="1">
      <c r="A1" s="54" t="s">
        <v>1231</v>
      </c>
      <c r="B1" s="55"/>
    </row>
    <row r="2" spans="1:2" ht="30" customHeight="1">
      <c r="A2" s="56" t="s">
        <v>1232</v>
      </c>
      <c r="B2" s="55"/>
    </row>
    <row r="4" spans="1:2" ht="34" customHeight="1">
      <c r="A4" s="1" t="s">
        <v>1233</v>
      </c>
      <c r="B4" s="1" t="s">
        <v>1234</v>
      </c>
    </row>
    <row r="5" spans="1:2" ht="44" customHeight="1">
      <c r="A5" s="51" t="s">
        <v>1235</v>
      </c>
      <c r="B5" s="48" t="s">
        <v>1236</v>
      </c>
    </row>
    <row r="6" spans="1:2" ht="44" customHeight="1">
      <c r="A6" s="52" t="s">
        <v>1237</v>
      </c>
      <c r="B6" s="49" t="s">
        <v>1238</v>
      </c>
    </row>
    <row r="7" spans="1:2" ht="44" customHeight="1">
      <c r="A7" s="52" t="s">
        <v>1239</v>
      </c>
      <c r="B7" s="49" t="s">
        <v>1240</v>
      </c>
    </row>
    <row r="8" spans="1:2" ht="44" customHeight="1">
      <c r="A8" s="52" t="s">
        <v>1241</v>
      </c>
      <c r="B8" s="49" t="s">
        <v>1242</v>
      </c>
    </row>
    <row r="9" spans="1:2" ht="44" customHeight="1">
      <c r="A9" s="52" t="s">
        <v>1243</v>
      </c>
      <c r="B9" s="49" t="s">
        <v>1244</v>
      </c>
    </row>
    <row r="10" spans="1:2" ht="44" customHeight="1">
      <c r="A10" s="52" t="s">
        <v>1245</v>
      </c>
      <c r="B10" s="49" t="s">
        <v>1246</v>
      </c>
    </row>
    <row r="11" spans="1:2" ht="44" customHeight="1">
      <c r="A11" s="52" t="s">
        <v>1247</v>
      </c>
      <c r="B11" s="49" t="s">
        <v>1248</v>
      </c>
    </row>
    <row r="12" spans="1:2" ht="44" customHeight="1">
      <c r="A12" s="52" t="s">
        <v>1249</v>
      </c>
      <c r="B12" s="49" t="s">
        <v>1250</v>
      </c>
    </row>
    <row r="13" spans="1:2" ht="44" customHeight="1">
      <c r="A13" s="52" t="s">
        <v>1251</v>
      </c>
      <c r="B13" s="49" t="s">
        <v>1252</v>
      </c>
    </row>
    <row r="14" spans="1:2" ht="44" customHeight="1">
      <c r="A14" s="52" t="s">
        <v>1253</v>
      </c>
      <c r="B14" s="49" t="s">
        <v>1254</v>
      </c>
    </row>
    <row r="15" spans="1:2" ht="44" customHeight="1">
      <c r="A15" s="53" t="s">
        <v>1255</v>
      </c>
      <c r="B15" s="50" t="s">
        <v>1256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德国候选</vt:lpstr>
      <vt:lpstr>临床优先</vt:lpstr>
      <vt:lpstr>青年新组</vt:lpstr>
      <vt:lpstr>城市方向统计</vt:lpstr>
      <vt:lpstr>说明与方法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xiaoqing pan</cp:lastModifiedBy>
  <dcterms:modified xsi:type="dcterms:W3CDTF">2026-07-29T21:58:34Z</dcterms:modified>
</cp:coreProperties>
</file>